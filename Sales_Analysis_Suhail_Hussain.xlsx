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Project_Overview" sheetId="1" state="visible" r:id="rId1"/>
    <sheet xmlns:r="http://schemas.openxmlformats.org/officeDocument/2006/relationships" name="01_Raw_Data" sheetId="2" state="visible" r:id="rId2"/>
    <sheet xmlns:r="http://schemas.openxmlformats.org/officeDocument/2006/relationships" name="02_Monthly_Analysis" sheetId="3" state="visible" r:id="rId3"/>
    <sheet xmlns:r="http://schemas.openxmlformats.org/officeDocument/2006/relationships" name="03_Product_Analysis" sheetId="4" state="visible" r:id="rId4"/>
    <sheet xmlns:r="http://schemas.openxmlformats.org/officeDocument/2006/relationships" name="04_Region_Analysis" sheetId="5" state="visible" r:id="rId5"/>
    <sheet xmlns:r="http://schemas.openxmlformats.org/officeDocument/2006/relationships" name="05_Salesperson_Analysis" sheetId="6" state="visible" r:id="rId6"/>
    <sheet xmlns:r="http://schemas.openxmlformats.org/officeDocument/2006/relationships" name="06_Executive_Dashboard"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lt;=9999999]##\,##\,##0;##\,##\,##0"/>
    <numFmt numFmtId="165" formatCode="0.00\%"/>
  </numFmts>
  <fonts count="2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20"/>
    </font>
    <font>
      <name val="Arial"/>
      <charset val="1"/>
      <family val="0"/>
      <i val="1"/>
      <color rgb="FFFFFFFF"/>
      <sz val="11"/>
    </font>
    <font>
      <name val="Arial"/>
      <charset val="1"/>
      <family val="0"/>
      <b val="1"/>
      <color rgb="FFFFFFFF"/>
      <sz val="13"/>
    </font>
    <font>
      <name val="Arial"/>
      <charset val="1"/>
      <family val="0"/>
      <sz val="11"/>
    </font>
    <font>
      <name val="Arial"/>
      <charset val="1"/>
      <family val="0"/>
      <b val="1"/>
      <color rgb="FFFFFFFF"/>
      <sz val="10"/>
    </font>
    <font>
      <name val="Arial"/>
      <charset val="1"/>
      <family val="0"/>
      <b val="1"/>
      <color rgb="FFFFFFFF"/>
      <sz val="12"/>
    </font>
    <font>
      <name val="Arial"/>
      <charset val="1"/>
      <family val="0"/>
      <b val="1"/>
      <color rgb="FF2E75B6"/>
      <sz val="10"/>
    </font>
    <font>
      <name val="Arial"/>
      <charset val="1"/>
      <family val="0"/>
      <sz val="10"/>
    </font>
    <font>
      <name val="Arial"/>
      <charset val="1"/>
      <family val="0"/>
      <color rgb="FF000000"/>
      <sz val="10"/>
    </font>
    <font>
      <name val="Arial"/>
      <charset val="1"/>
      <family val="0"/>
      <b val="1"/>
      <color rgb="FFFFFFFF"/>
      <sz val="14"/>
    </font>
    <font>
      <name val="Arial"/>
      <charset val="1"/>
      <family val="0"/>
      <i val="1"/>
      <color rgb="FF375623"/>
      <sz val="10"/>
    </font>
    <font>
      <name val="Arial"/>
      <charset val="1"/>
      <family val="0"/>
      <b val="1"/>
      <color rgb="FF000000"/>
      <sz val="10"/>
    </font>
    <font>
      <name val="Calibri"/>
      <family val="2"/>
      <b val="1"/>
      <color rgb="FF000000"/>
      <sz val="18"/>
    </font>
    <font>
      <name val="Calibri"/>
      <family val="2"/>
      <color rgb="FF000000"/>
      <sz val="10"/>
    </font>
    <font>
      <name val="Calibri"/>
      <family val="2"/>
      <b val="1"/>
      <color rgb="FF000000"/>
      <sz val="10"/>
    </font>
    <font>
      <name val="Arial"/>
      <charset val="1"/>
      <family val="0"/>
      <i val="1"/>
      <color rgb="FFC55A11"/>
      <sz val="10"/>
    </font>
    <font>
      <name val="Arial"/>
      <charset val="1"/>
      <family val="0"/>
      <i val="1"/>
      <color rgb="FF2E75B6"/>
      <sz val="10"/>
    </font>
    <font>
      <name val="Arial"/>
      <charset val="1"/>
      <family val="0"/>
      <b val="1"/>
      <color rgb="FFFFFFFF"/>
      <sz val="18"/>
    </font>
    <font>
      <name val="Arial"/>
      <charset val="1"/>
      <family val="0"/>
      <b val="1"/>
      <color rgb="FFFFFFFF"/>
      <sz val="11"/>
    </font>
    <font>
      <name val="Arial"/>
      <charset val="1"/>
      <family val="0"/>
      <b val="1"/>
      <color rgb="FF1F3864"/>
      <sz val="20"/>
    </font>
    <font>
      <name val="Arial"/>
      <charset val="1"/>
      <family val="0"/>
      <sz val="9"/>
    </font>
    <font>
      <name val="Arial"/>
      <charset val="1"/>
      <family val="0"/>
      <b val="1"/>
      <sz val="10"/>
    </font>
    <font>
      <name val="Arial"/>
      <charset val="1"/>
      <family val="0"/>
      <i val="1"/>
      <color rgb="FF595959"/>
      <sz val="9"/>
    </font>
  </fonts>
  <fills count="15">
    <fill>
      <patternFill/>
    </fill>
    <fill>
      <patternFill patternType="gray125"/>
    </fill>
    <fill>
      <patternFill patternType="solid">
        <fgColor rgb="FF1F3864"/>
        <bgColor rgb="FF333399"/>
      </patternFill>
    </fill>
    <fill>
      <patternFill patternType="solid">
        <fgColor rgb="FF2E75B6"/>
        <bgColor rgb="FF4A7EBB"/>
      </patternFill>
    </fill>
    <fill>
      <patternFill patternType="solid">
        <fgColor rgb="FFDCE6F1"/>
        <bgColor rgb="FFE2EFDA"/>
      </patternFill>
    </fill>
    <fill>
      <patternFill patternType="solid">
        <fgColor rgb="FF375623"/>
        <bgColor rgb="FF595959"/>
      </patternFill>
    </fill>
    <fill>
      <patternFill patternType="solid">
        <fgColor rgb="FF70AD47"/>
        <bgColor rgb="FF878787"/>
      </patternFill>
    </fill>
    <fill>
      <patternFill patternType="solid">
        <fgColor rgb="FFE2EFDA"/>
        <bgColor rgb="FFDCE6F1"/>
      </patternFill>
    </fill>
    <fill>
      <patternFill patternType="solid">
        <fgColor rgb="FFC55A11"/>
        <bgColor rgb="FFC0504D"/>
      </patternFill>
    </fill>
    <fill>
      <patternFill patternType="solid">
        <fgColor rgb="FFFCE4D6"/>
        <bgColor rgb="FFFFF2CC"/>
      </patternFill>
    </fill>
    <fill>
      <patternFill patternType="solid">
        <fgColor rgb="FFFFF2CC"/>
        <bgColor rgb="FFFCE4D6"/>
      </patternFill>
    </fill>
    <fill>
      <patternFill patternType="solid">
        <fgColor rgb="FFF2F2F2"/>
        <bgColor rgb="FFF9F9F9"/>
      </patternFill>
    </fill>
    <fill>
      <patternFill patternType="solid">
        <fgColor rgb="FFFFFFFF"/>
        <bgColor rgb="FFF9F9F9"/>
      </patternFill>
    </fill>
    <fill>
      <patternFill patternType="solid">
        <fgColor rgb="FF7030A0"/>
        <bgColor rgb="FF333399"/>
      </patternFill>
    </fill>
    <fill>
      <patternFill patternType="solid">
        <fgColor rgb="FFEAD1DC"/>
        <bgColor rgb="FFD9D9D9"/>
      </patternFill>
    </fill>
  </fills>
  <borders count="7">
    <border>
      <left/>
      <right/>
      <top/>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
      <left/>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2" borderId="0" applyAlignment="1" pivotButton="0" quotePrefix="0" xfId="0">
      <alignment horizontal="center" vertical="center" wrapText="1"/>
    </xf>
    <xf numFmtId="0" fontId="7" fillId="4" borderId="1" applyAlignment="1" pivotButton="0" quotePrefix="0" xfId="0">
      <alignment horizontal="left" vertical="center" wrapText="1"/>
    </xf>
    <xf numFmtId="0" fontId="6" fillId="5" borderId="0" applyAlignment="1" pivotButton="0" quotePrefix="0" xfId="0">
      <alignment horizontal="center" vertical="center" wrapText="1"/>
    </xf>
    <xf numFmtId="0" fontId="8" fillId="6" borderId="2" applyAlignment="1" pivotButton="0" quotePrefix="0" xfId="0">
      <alignment horizontal="center" vertical="center"/>
    </xf>
    <xf numFmtId="0" fontId="7" fillId="7" borderId="2" applyAlignment="1" pivotButton="0" quotePrefix="0" xfId="0">
      <alignment horizontal="left" vertical="center" wrapText="1"/>
    </xf>
    <xf numFmtId="0" fontId="8" fillId="8" borderId="2" applyAlignment="1" pivotButton="0" quotePrefix="0" xfId="0">
      <alignment horizontal="center" vertical="center"/>
    </xf>
    <xf numFmtId="0" fontId="7" fillId="9" borderId="2" applyAlignment="1" pivotButton="0" quotePrefix="0" xfId="0">
      <alignment horizontal="left" vertical="center" wrapText="1"/>
    </xf>
    <xf numFmtId="0" fontId="8" fillId="3" borderId="2" applyAlignment="1" pivotButton="0" quotePrefix="0" xfId="0">
      <alignment horizontal="center" vertical="center"/>
    </xf>
    <xf numFmtId="0" fontId="7" fillId="4" borderId="2" applyAlignment="1" pivotButton="0" quotePrefix="0" xfId="0">
      <alignment horizontal="left" vertical="center" wrapText="1"/>
    </xf>
    <xf numFmtId="0" fontId="6" fillId="8" borderId="0" applyAlignment="1" pivotButton="0" quotePrefix="0" xfId="0">
      <alignment horizontal="center" vertical="center" wrapText="1"/>
    </xf>
    <xf numFmtId="0" fontId="7" fillId="10" borderId="1" applyAlignment="1" pivotButton="0" quotePrefix="0" xfId="0">
      <alignment horizontal="left" vertical="center" wrapText="1"/>
    </xf>
    <xf numFmtId="0" fontId="9" fillId="2" borderId="0" applyAlignment="1" pivotButton="0" quotePrefix="0" xfId="0">
      <alignment horizontal="center" vertical="center" wrapText="1"/>
    </xf>
    <xf numFmtId="0" fontId="10" fillId="4" borderId="3" applyAlignment="1" pivotButton="0" quotePrefix="0" xfId="0">
      <alignment horizontal="general" vertical="bottom"/>
    </xf>
    <xf numFmtId="0" fontId="11" fillId="11" borderId="2" applyAlignment="1" pivotButton="0" quotePrefix="0" xfId="0">
      <alignment horizontal="general" vertical="bottom"/>
    </xf>
    <xf numFmtId="0" fontId="8" fillId="3" borderId="3" applyAlignment="1" pivotButton="0" quotePrefix="0" xfId="0">
      <alignment horizontal="center" vertical="center" wrapText="1"/>
    </xf>
    <xf numFmtId="0" fontId="12" fillId="12" borderId="3" applyAlignment="1" pivotButton="0" quotePrefix="0" xfId="0">
      <alignment horizontal="center" vertical="center"/>
    </xf>
    <xf numFmtId="0" fontId="12" fillId="12" borderId="3" applyAlignment="1" pivotButton="0" quotePrefix="0" xfId="0">
      <alignment horizontal="left" vertical="center"/>
    </xf>
    <xf numFmtId="164" fontId="12" fillId="12" borderId="3" applyAlignment="1" pivotButton="0" quotePrefix="0" xfId="0">
      <alignment horizontal="center" vertical="center"/>
    </xf>
    <xf numFmtId="165" fontId="12" fillId="12" borderId="3" applyAlignment="1" pivotButton="0" quotePrefix="0" xfId="0">
      <alignment horizontal="center" vertical="center"/>
    </xf>
    <xf numFmtId="0" fontId="12" fillId="11" borderId="3" applyAlignment="1" pivotButton="0" quotePrefix="0" xfId="0">
      <alignment horizontal="center" vertical="center"/>
    </xf>
    <xf numFmtId="0" fontId="12" fillId="11" borderId="3" applyAlignment="1" pivotButton="0" quotePrefix="0" xfId="0">
      <alignment horizontal="left" vertical="center"/>
    </xf>
    <xf numFmtId="164" fontId="12" fillId="11" borderId="3" applyAlignment="1" pivotButton="0" quotePrefix="0" xfId="0">
      <alignment horizontal="center" vertical="center"/>
    </xf>
    <xf numFmtId="165" fontId="12" fillId="11" borderId="3" applyAlignment="1" pivotButton="0" quotePrefix="0" xfId="0">
      <alignment horizontal="center" vertical="center"/>
    </xf>
    <xf numFmtId="0" fontId="13" fillId="2" borderId="0" applyAlignment="1" pivotButton="0" quotePrefix="0" xfId="0">
      <alignment horizontal="center" vertical="center"/>
    </xf>
    <xf numFmtId="0" fontId="14" fillId="7" borderId="2" applyAlignment="1" pivotButton="0" quotePrefix="0" xfId="0">
      <alignment horizontal="left" vertical="center" wrapText="1"/>
    </xf>
    <xf numFmtId="3" fontId="12" fillId="12" borderId="3" applyAlignment="1" pivotButton="0" quotePrefix="0" xfId="0">
      <alignment horizontal="center" vertical="center"/>
    </xf>
    <xf numFmtId="3" fontId="12" fillId="11" borderId="3" applyAlignment="1" pivotButton="0" quotePrefix="0" xfId="0">
      <alignment horizontal="center" vertical="center"/>
    </xf>
    <xf numFmtId="0" fontId="15" fillId="10" borderId="3" applyAlignment="1" pivotButton="0" quotePrefix="0" xfId="0">
      <alignment horizontal="center" vertical="center"/>
    </xf>
    <xf numFmtId="0" fontId="12" fillId="10" borderId="3" applyAlignment="1" pivotButton="0" quotePrefix="0" xfId="0">
      <alignment horizontal="center" vertical="center"/>
    </xf>
    <xf numFmtId="3" fontId="12" fillId="10" borderId="3" applyAlignment="1" pivotButton="0" quotePrefix="0" xfId="0">
      <alignment horizontal="center" vertical="center"/>
    </xf>
    <xf numFmtId="165" fontId="12" fillId="10" borderId="3" applyAlignment="1" pivotButton="0" quotePrefix="0" xfId="0">
      <alignment horizontal="center" vertical="center"/>
    </xf>
    <xf numFmtId="0" fontId="8" fillId="2" borderId="3" applyAlignment="1" pivotButton="0" quotePrefix="0" xfId="0">
      <alignment horizontal="center" vertical="center"/>
    </xf>
    <xf numFmtId="3" fontId="8" fillId="2" borderId="3" applyAlignment="1" pivotButton="0" quotePrefix="0" xfId="0">
      <alignment horizontal="center" vertical="center"/>
    </xf>
    <xf numFmtId="165" fontId="8" fillId="2" borderId="3" applyAlignment="1" pivotButton="0" quotePrefix="0" xfId="0">
      <alignment horizontal="center" vertical="center"/>
    </xf>
    <xf numFmtId="0" fontId="15" fillId="10" borderId="3" applyAlignment="1" pivotButton="0" quotePrefix="0" xfId="0">
      <alignment horizontal="left" vertical="center"/>
    </xf>
    <xf numFmtId="0" fontId="19" fillId="9" borderId="2" applyAlignment="1" pivotButton="0" quotePrefix="0" xfId="0">
      <alignment horizontal="left" vertical="center" wrapText="1"/>
    </xf>
    <xf numFmtId="0" fontId="15" fillId="9" borderId="3" applyAlignment="1" pivotButton="0" quotePrefix="0" xfId="0">
      <alignment horizontal="center" vertical="center"/>
    </xf>
    <xf numFmtId="3" fontId="12" fillId="9" borderId="3" applyAlignment="1" pivotButton="0" quotePrefix="0" xfId="0">
      <alignment horizontal="center" vertical="center"/>
    </xf>
    <xf numFmtId="165" fontId="12" fillId="9" borderId="3" applyAlignment="1" pivotButton="0" quotePrefix="0" xfId="0">
      <alignment horizontal="center" vertical="center"/>
    </xf>
    <xf numFmtId="0" fontId="20" fillId="4" borderId="2" applyAlignment="1" pivotButton="0" quotePrefix="0" xfId="0">
      <alignment horizontal="left" vertical="center" wrapText="1"/>
    </xf>
    <xf numFmtId="0" fontId="15" fillId="4" borderId="3" applyAlignment="1" pivotButton="0" quotePrefix="0" xfId="0">
      <alignment horizontal="left" vertical="center"/>
    </xf>
    <xf numFmtId="3" fontId="12" fillId="4" borderId="3" applyAlignment="1" pivotButton="0" quotePrefix="0" xfId="0">
      <alignment horizontal="center" vertical="center"/>
    </xf>
    <xf numFmtId="165" fontId="12" fillId="4" borderId="3" applyAlignment="1" pivotButton="0" quotePrefix="0" xfId="0">
      <alignment horizontal="center" vertical="center"/>
    </xf>
    <xf numFmtId="0" fontId="12" fillId="4" borderId="3" applyAlignment="1" pivotButton="0" quotePrefix="0" xfId="0">
      <alignment horizontal="center" vertical="center"/>
    </xf>
    <xf numFmtId="0" fontId="21" fillId="2" borderId="0" applyAlignment="1" pivotButton="0" quotePrefix="0" xfId="0">
      <alignment horizontal="center" vertical="center"/>
    </xf>
    <xf numFmtId="0" fontId="22" fillId="3" borderId="2" applyAlignment="1" pivotButton="0" quotePrefix="0" xfId="0">
      <alignment horizontal="center" vertical="center"/>
    </xf>
    <xf numFmtId="0" fontId="22" fillId="6" borderId="2" applyAlignment="1" pivotButton="0" quotePrefix="0" xfId="0">
      <alignment horizontal="center" vertical="center"/>
    </xf>
    <xf numFmtId="0" fontId="22" fillId="8" borderId="2" applyAlignment="1" pivotButton="0" quotePrefix="0" xfId="0">
      <alignment horizontal="center" vertical="center"/>
    </xf>
    <xf numFmtId="0" fontId="22" fillId="13" borderId="2" applyAlignment="1" pivotButton="0" quotePrefix="0" xfId="0">
      <alignment horizontal="center" vertical="center"/>
    </xf>
    <xf numFmtId="3" fontId="23" fillId="4" borderId="1" applyAlignment="1" pivotButton="0" quotePrefix="0" xfId="0">
      <alignment horizontal="center" vertical="center"/>
    </xf>
    <xf numFmtId="3" fontId="23" fillId="7" borderId="1" applyAlignment="1" pivotButton="0" quotePrefix="0" xfId="0">
      <alignment horizontal="center" vertical="center"/>
    </xf>
    <xf numFmtId="3" fontId="23" fillId="9" borderId="1" applyAlignment="1" pivotButton="0" quotePrefix="0" xfId="0">
      <alignment horizontal="center" vertical="center"/>
    </xf>
    <xf numFmtId="165" fontId="23" fillId="14" borderId="1" applyAlignment="1" pivotButton="0" quotePrefix="0" xfId="0">
      <alignment horizontal="center" vertical="center"/>
    </xf>
    <xf numFmtId="0" fontId="9" fillId="3" borderId="2" applyAlignment="1" pivotButton="0" quotePrefix="0" xfId="0">
      <alignment horizontal="center" vertical="center"/>
    </xf>
    <xf numFmtId="0" fontId="24" fillId="7" borderId="1" applyAlignment="1" pivotButton="0" quotePrefix="0" xfId="0">
      <alignment horizontal="left" vertical="center" wrapText="1"/>
    </xf>
    <xf numFmtId="0" fontId="24" fillId="9" borderId="1" applyAlignment="1" pivotButton="0" quotePrefix="0" xfId="0">
      <alignment horizontal="left" vertical="center" wrapText="1"/>
    </xf>
    <xf numFmtId="0" fontId="24" fillId="4" borderId="1" applyAlignment="1" pivotButton="0" quotePrefix="0" xfId="0">
      <alignment horizontal="left" vertical="center" wrapText="1"/>
    </xf>
    <xf numFmtId="0" fontId="9" fillId="2" borderId="2" applyAlignment="1" pivotButton="0" quotePrefix="0" xfId="0">
      <alignment horizontal="center" vertical="center"/>
    </xf>
    <xf numFmtId="0" fontId="25" fillId="11" borderId="2" applyAlignment="1" pivotButton="0" quotePrefix="0" xfId="0">
      <alignment horizontal="left" vertical="center"/>
    </xf>
    <xf numFmtId="0" fontId="10" fillId="4" borderId="2" applyAlignment="1" pivotButton="0" quotePrefix="0" xfId="0">
      <alignment horizontal="center" vertical="center"/>
    </xf>
    <xf numFmtId="0" fontId="26"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2" borderId="0" applyAlignment="1" pivotButton="0" quotePrefix="0" xfId="0">
      <alignment horizontal="center" vertical="center" wrapText="1"/>
    </xf>
    <xf numFmtId="0" fontId="7" fillId="4" borderId="1" applyAlignment="1" pivotButton="0" quotePrefix="0" xfId="0">
      <alignment horizontal="left" vertical="center" wrapText="1"/>
    </xf>
    <xf numFmtId="0" fontId="0" fillId="0" borderId="4" pivotButton="0" quotePrefix="0" xfId="0"/>
    <xf numFmtId="0" fontId="0" fillId="0" borderId="5" pivotButton="0" quotePrefix="0" xfId="0"/>
    <xf numFmtId="0" fontId="6" fillId="5" borderId="0" applyAlignment="1" pivotButton="0" quotePrefix="0" xfId="0">
      <alignment horizontal="center" vertical="center" wrapText="1"/>
    </xf>
    <xf numFmtId="0" fontId="8" fillId="6" borderId="2" applyAlignment="1" pivotButton="0" quotePrefix="0" xfId="0">
      <alignment horizontal="center" vertical="center"/>
    </xf>
    <xf numFmtId="0" fontId="0" fillId="0" borderId="6" pivotButton="0" quotePrefix="0" xfId="0"/>
    <xf numFmtId="0" fontId="7" fillId="7" borderId="2" applyAlignment="1" pivotButton="0" quotePrefix="0" xfId="0">
      <alignment horizontal="left" vertical="center" wrapText="1"/>
    </xf>
    <xf numFmtId="0" fontId="8" fillId="8" borderId="2" applyAlignment="1" pivotButton="0" quotePrefix="0" xfId="0">
      <alignment horizontal="center" vertical="center"/>
    </xf>
    <xf numFmtId="0" fontId="7" fillId="9" borderId="2" applyAlignment="1" pivotButton="0" quotePrefix="0" xfId="0">
      <alignment horizontal="left" vertical="center" wrapText="1"/>
    </xf>
    <xf numFmtId="0" fontId="8" fillId="3" borderId="2" applyAlignment="1" pivotButton="0" quotePrefix="0" xfId="0">
      <alignment horizontal="center" vertical="center"/>
    </xf>
    <xf numFmtId="0" fontId="7" fillId="4" borderId="2" applyAlignment="1" pivotButton="0" quotePrefix="0" xfId="0">
      <alignment horizontal="left" vertical="center" wrapText="1"/>
    </xf>
    <xf numFmtId="0" fontId="6" fillId="8" borderId="0" applyAlignment="1" pivotButton="0" quotePrefix="0" xfId="0">
      <alignment horizontal="center" vertical="center" wrapText="1"/>
    </xf>
    <xf numFmtId="0" fontId="7" fillId="10" borderId="1" applyAlignment="1" pivotButton="0" quotePrefix="0" xfId="0">
      <alignment horizontal="left" vertical="center" wrapText="1"/>
    </xf>
    <xf numFmtId="0" fontId="9" fillId="2" borderId="0" applyAlignment="1" pivotButton="0" quotePrefix="0" xfId="0">
      <alignment horizontal="center" vertical="center" wrapText="1"/>
    </xf>
    <xf numFmtId="0" fontId="10" fillId="4" borderId="3" applyAlignment="1" pivotButton="0" quotePrefix="0" xfId="0">
      <alignment horizontal="general" vertical="bottom"/>
    </xf>
    <xf numFmtId="0" fontId="11" fillId="11" borderId="2" applyAlignment="1" pivotButton="0" quotePrefix="0" xfId="0">
      <alignment horizontal="general" vertical="bottom"/>
    </xf>
    <xf numFmtId="0" fontId="8" fillId="3" borderId="3" applyAlignment="1" pivotButton="0" quotePrefix="0" xfId="0">
      <alignment horizontal="center" vertical="center" wrapText="1"/>
    </xf>
    <xf numFmtId="0" fontId="12" fillId="12" borderId="3" applyAlignment="1" pivotButton="0" quotePrefix="0" xfId="0">
      <alignment horizontal="center" vertical="center"/>
    </xf>
    <xf numFmtId="0" fontId="12" fillId="12" borderId="3" applyAlignment="1" pivotButton="0" quotePrefix="0" xfId="0">
      <alignment horizontal="left" vertical="center"/>
    </xf>
    <xf numFmtId="164" fontId="12" fillId="12" borderId="3" applyAlignment="1" pivotButton="0" quotePrefix="0" xfId="0">
      <alignment horizontal="center" vertical="center"/>
    </xf>
    <xf numFmtId="165" fontId="12" fillId="12" borderId="3" applyAlignment="1" pivotButton="0" quotePrefix="0" xfId="0">
      <alignment horizontal="center" vertical="center"/>
    </xf>
    <xf numFmtId="0" fontId="12" fillId="11" borderId="3" applyAlignment="1" pivotButton="0" quotePrefix="0" xfId="0">
      <alignment horizontal="center" vertical="center"/>
    </xf>
    <xf numFmtId="0" fontId="12" fillId="11" borderId="3" applyAlignment="1" pivotButton="0" quotePrefix="0" xfId="0">
      <alignment horizontal="left" vertical="center"/>
    </xf>
    <xf numFmtId="164" fontId="12" fillId="11" borderId="3" applyAlignment="1" pivotButton="0" quotePrefix="0" xfId="0">
      <alignment horizontal="center" vertical="center"/>
    </xf>
    <xf numFmtId="165" fontId="12" fillId="11" borderId="3" applyAlignment="1" pivotButton="0" quotePrefix="0" xfId="0">
      <alignment horizontal="center" vertical="center"/>
    </xf>
    <xf numFmtId="0" fontId="13" fillId="2" borderId="0" applyAlignment="1" pivotButton="0" quotePrefix="0" xfId="0">
      <alignment horizontal="center" vertical="center"/>
    </xf>
    <xf numFmtId="0" fontId="14" fillId="7" borderId="2" applyAlignment="1" pivotButton="0" quotePrefix="0" xfId="0">
      <alignment horizontal="left" vertical="center" wrapText="1"/>
    </xf>
    <xf numFmtId="3" fontId="12" fillId="12" borderId="3" applyAlignment="1" pivotButton="0" quotePrefix="0" xfId="0">
      <alignment horizontal="center" vertical="center"/>
    </xf>
    <xf numFmtId="3" fontId="12" fillId="11" borderId="3" applyAlignment="1" pivotButton="0" quotePrefix="0" xfId="0">
      <alignment horizontal="center" vertical="center"/>
    </xf>
    <xf numFmtId="0" fontId="15" fillId="10" borderId="3" applyAlignment="1" pivotButton="0" quotePrefix="0" xfId="0">
      <alignment horizontal="center" vertical="center"/>
    </xf>
    <xf numFmtId="0" fontId="12" fillId="10" borderId="3" applyAlignment="1" pivotButton="0" quotePrefix="0" xfId="0">
      <alignment horizontal="center" vertical="center"/>
    </xf>
    <xf numFmtId="3" fontId="12" fillId="10" borderId="3" applyAlignment="1" pivotButton="0" quotePrefix="0" xfId="0">
      <alignment horizontal="center" vertical="center"/>
    </xf>
    <xf numFmtId="165" fontId="12" fillId="10" borderId="3" applyAlignment="1" pivotButton="0" quotePrefix="0" xfId="0">
      <alignment horizontal="center" vertical="center"/>
    </xf>
    <xf numFmtId="0" fontId="8" fillId="2" borderId="3" applyAlignment="1" pivotButton="0" quotePrefix="0" xfId="0">
      <alignment horizontal="center" vertical="center"/>
    </xf>
    <xf numFmtId="3" fontId="8" fillId="2" borderId="3" applyAlignment="1" pivotButton="0" quotePrefix="0" xfId="0">
      <alignment horizontal="center" vertical="center"/>
    </xf>
    <xf numFmtId="165" fontId="8" fillId="2" borderId="3" applyAlignment="1" pivotButton="0" quotePrefix="0" xfId="0">
      <alignment horizontal="center" vertical="center"/>
    </xf>
    <xf numFmtId="0" fontId="15" fillId="10" borderId="3" applyAlignment="1" pivotButton="0" quotePrefix="0" xfId="0">
      <alignment horizontal="left" vertical="center"/>
    </xf>
    <xf numFmtId="0" fontId="19" fillId="9" borderId="2" applyAlignment="1" pivotButton="0" quotePrefix="0" xfId="0">
      <alignment horizontal="left" vertical="center" wrapText="1"/>
    </xf>
    <xf numFmtId="0" fontId="15" fillId="9" borderId="3" applyAlignment="1" pivotButton="0" quotePrefix="0" xfId="0">
      <alignment horizontal="center" vertical="center"/>
    </xf>
    <xf numFmtId="3" fontId="12" fillId="9" borderId="3" applyAlignment="1" pivotButton="0" quotePrefix="0" xfId="0">
      <alignment horizontal="center" vertical="center"/>
    </xf>
    <xf numFmtId="165" fontId="12" fillId="9" borderId="3" applyAlignment="1" pivotButton="0" quotePrefix="0" xfId="0">
      <alignment horizontal="center" vertical="center"/>
    </xf>
    <xf numFmtId="0" fontId="20" fillId="4" borderId="2" applyAlignment="1" pivotButton="0" quotePrefix="0" xfId="0">
      <alignment horizontal="left" vertical="center" wrapText="1"/>
    </xf>
    <xf numFmtId="0" fontId="15" fillId="4" borderId="3" applyAlignment="1" pivotButton="0" quotePrefix="0" xfId="0">
      <alignment horizontal="left" vertical="center"/>
    </xf>
    <xf numFmtId="3" fontId="12" fillId="4" borderId="3" applyAlignment="1" pivotButton="0" quotePrefix="0" xfId="0">
      <alignment horizontal="center" vertical="center"/>
    </xf>
    <xf numFmtId="165" fontId="12" fillId="4" borderId="3" applyAlignment="1" pivotButton="0" quotePrefix="0" xfId="0">
      <alignment horizontal="center" vertical="center"/>
    </xf>
    <xf numFmtId="0" fontId="12" fillId="4" borderId="3" applyAlignment="1" pivotButton="0" quotePrefix="0" xfId="0">
      <alignment horizontal="center" vertical="center"/>
    </xf>
    <xf numFmtId="0" fontId="21" fillId="2" borderId="0" applyAlignment="1" pivotButton="0" quotePrefix="0" xfId="0">
      <alignment horizontal="center" vertical="center"/>
    </xf>
    <xf numFmtId="0" fontId="22" fillId="3" borderId="2" applyAlignment="1" pivotButton="0" quotePrefix="0" xfId="0">
      <alignment horizontal="center" vertical="center"/>
    </xf>
    <xf numFmtId="0" fontId="22" fillId="6" borderId="2" applyAlignment="1" pivotButton="0" quotePrefix="0" xfId="0">
      <alignment horizontal="center" vertical="center"/>
    </xf>
    <xf numFmtId="0" fontId="22" fillId="8" borderId="2" applyAlignment="1" pivotButton="0" quotePrefix="0" xfId="0">
      <alignment horizontal="center" vertical="center"/>
    </xf>
    <xf numFmtId="0" fontId="22" fillId="13" borderId="2" applyAlignment="1" pivotButton="0" quotePrefix="0" xfId="0">
      <alignment horizontal="center" vertical="center"/>
    </xf>
    <xf numFmtId="3" fontId="23" fillId="4" borderId="1" applyAlignment="1" pivotButton="0" quotePrefix="0" xfId="0">
      <alignment horizontal="center" vertical="center"/>
    </xf>
    <xf numFmtId="3" fontId="23" fillId="7" borderId="1" applyAlignment="1" pivotButton="0" quotePrefix="0" xfId="0">
      <alignment horizontal="center" vertical="center"/>
    </xf>
    <xf numFmtId="3" fontId="23" fillId="9" borderId="1" applyAlignment="1" pivotButton="0" quotePrefix="0" xfId="0">
      <alignment horizontal="center" vertical="center"/>
    </xf>
    <xf numFmtId="165" fontId="23" fillId="14" borderId="1" applyAlignment="1" pivotButton="0" quotePrefix="0" xfId="0">
      <alignment horizontal="center" vertical="center"/>
    </xf>
    <xf numFmtId="0" fontId="9" fillId="3" borderId="2" applyAlignment="1" pivotButton="0" quotePrefix="0" xfId="0">
      <alignment horizontal="center" vertical="center"/>
    </xf>
    <xf numFmtId="0" fontId="24" fillId="7" borderId="1" applyAlignment="1" pivotButton="0" quotePrefix="0" xfId="0">
      <alignment horizontal="left" vertical="center" wrapText="1"/>
    </xf>
    <xf numFmtId="0" fontId="24" fillId="9" borderId="1" applyAlignment="1" pivotButton="0" quotePrefix="0" xfId="0">
      <alignment horizontal="left" vertical="center" wrapText="1"/>
    </xf>
    <xf numFmtId="0" fontId="24" fillId="4" borderId="1" applyAlignment="1" pivotButton="0" quotePrefix="0" xfId="0">
      <alignment horizontal="left" vertical="center" wrapText="1"/>
    </xf>
    <xf numFmtId="0" fontId="9" fillId="2" borderId="2" applyAlignment="1" pivotButton="0" quotePrefix="0" xfId="0">
      <alignment horizontal="center" vertical="center"/>
    </xf>
    <xf numFmtId="0" fontId="25" fillId="11" borderId="2" applyAlignment="1" pivotButton="0" quotePrefix="0" xfId="0">
      <alignment horizontal="left" vertical="center"/>
    </xf>
    <xf numFmtId="0" fontId="10" fillId="4" borderId="2" applyAlignment="1" pivotButton="0" quotePrefix="0" xfId="0">
      <alignment horizontal="center" vertical="center"/>
    </xf>
    <xf numFmtId="0" fontId="26" fillId="0" borderId="0"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BFBFBF"/>
      <rgbColor rgb="FF878787"/>
      <rgbColor rgb="FF9999FF"/>
      <rgbColor rgb="FF7030A0"/>
      <rgbColor rgb="FFFFF2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CE4D6"/>
      <rgbColor rgb="FFF9F9F9"/>
      <rgbColor rgb="FFFF99CC"/>
      <rgbColor rgb="FFCC99FF"/>
      <rgbColor rgb="FFEAD1DC"/>
      <rgbColor rgb="FF2E75B6"/>
      <rgbColor rgb="FF33CCCC"/>
      <rgbColor rgb="FF99CC00"/>
      <rgbColor rgb="FFFFCC00"/>
      <rgbColor rgb="FFFF9900"/>
      <rgbColor rgb="FFC55A11"/>
      <rgbColor rgb="FF595959"/>
      <rgbColor rgb="FF70AD47"/>
      <rgbColor rgb="FF1F3864"/>
      <rgbColor rgb="FF4A7EBB"/>
      <rgbColor rgb="FF003300"/>
      <rgbColor rgb="FF333300"/>
      <rgbColor rgb="FF993300"/>
      <rgbColor rgb="FFC0504D"/>
      <rgbColor rgb="FF3333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Monthly Revenue (Rs) — FY 2024</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02_Monthly_Analysis!D3</f>
              <strCache>
                <ptCount val="1"/>
                <pt idx="0">
                  <v>Revenue (Rs)</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02_Monthly_Analysis!$A$4:$A$15</f>
              <strCache>
                <ptCount val="12"/>
                <pt idx="0">
                  <v>Jan</v>
                </pt>
                <pt idx="1">
                  <v>Feb</v>
                </pt>
                <pt idx="2">
                  <v>Mar</v>
                </pt>
                <pt idx="3">
                  <v>Apr</v>
                </pt>
                <pt idx="4">
                  <v>May</v>
                </pt>
                <pt idx="5">
                  <v>Jun</v>
                </pt>
                <pt idx="6">
                  <v>Jul</v>
                </pt>
                <pt idx="7">
                  <v>Aug</v>
                </pt>
                <pt idx="8">
                  <v>Sep</v>
                </pt>
                <pt idx="9">
                  <v>Oct</v>
                </pt>
                <pt idx="10">
                  <v>Nov</v>
                </pt>
                <pt idx="11">
                  <v>Dec</v>
                </pt>
              </strCache>
            </strRef>
          </cat>
          <val>
            <numRef>
              <f>02_Monthly_Analysis!$D$4:$D$15</f>
              <numCache>
                <formatCode>#,##0</formatCode>
                <ptCount val="12"/>
                <pt idx="0">
                  <v>2183500</v>
                </pt>
                <pt idx="1">
                  <v>916000</v>
                </pt>
                <pt idx="2">
                  <v>2843000</v>
                </pt>
                <pt idx="3">
                  <v>1875500</v>
                </pt>
                <pt idx="4">
                  <v>2071500</v>
                </pt>
                <pt idx="5">
                  <v>3678500</v>
                </pt>
                <pt idx="6">
                  <v>1753500</v>
                </pt>
                <pt idx="7">
                  <v>3095500</v>
                </pt>
                <pt idx="8">
                  <v>3740500</v>
                </pt>
                <pt idx="9">
                  <v>2862500</v>
                </pt>
                <pt idx="10">
                  <v>6219000</v>
                </pt>
                <pt idx="11">
                  <v>3704000</v>
                </pt>
              </numCache>
            </numRef>
          </val>
        </ser>
        <gapWidth val="150"/>
        <overlap val="0"/>
        <axId val="82995794"/>
        <axId val="90645635"/>
      </barChart>
      <catAx>
        <axId val="82995794"/>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Month</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0645635"/>
        <crosses val="autoZero"/>
        <auto val="1"/>
        <lblAlgn val="ctr"/>
        <lblOffset val="100"/>
        <noMultiLvlLbl val="0"/>
      </catAx>
      <valAx>
        <axId val="90645635"/>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Revenue (Rs)</a:t>
                </a:r>
              </a:p>
            </rich>
          </tx>
          <overlay val="0"/>
          <spPr>
            <a:noFill xmlns:a="http://schemas.openxmlformats.org/drawingml/2006/main"/>
            <a:ln xmlns:a="http://schemas.openxmlformats.org/drawingml/2006/main" w="0">
              <a:noFill/>
              <a:prstDash val="solid"/>
            </a:ln>
          </spPr>
        </title>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82995794"/>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Monthly Profit Trend (Rs)</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02_Monthly_Analysis!E3</f>
              <strCache>
                <ptCount val="1"/>
                <pt idx="0">
                  <v>Profit (Rs)</v>
                </pt>
              </strCache>
            </strRef>
          </tx>
          <spPr>
            <a:solidFill xmlns:a="http://schemas.openxmlformats.org/drawingml/2006/main">
              <a:srgbClr val="4a7ebb"/>
            </a:solidFill>
            <a:ln xmlns:a="http://schemas.openxmlformats.org/drawingml/2006/main" w="47520">
              <a:solidFill>
                <a:srgbClr val="4a7ebb"/>
              </a:solidFill>
              <a:prstDash val="solid"/>
              <a:round/>
            </a:ln>
          </spPr>
          <marker>
            <symbol val="none"/>
            <spPr>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02_Monthly_Analysis!$A$4:$A$15</f>
              <strCache>
                <ptCount val="12"/>
                <pt idx="0">
                  <v>Jan</v>
                </pt>
                <pt idx="1">
                  <v>Feb</v>
                </pt>
                <pt idx="2">
                  <v>Mar</v>
                </pt>
                <pt idx="3">
                  <v>Apr</v>
                </pt>
                <pt idx="4">
                  <v>May</v>
                </pt>
                <pt idx="5">
                  <v>Jun</v>
                </pt>
                <pt idx="6">
                  <v>Jul</v>
                </pt>
                <pt idx="7">
                  <v>Aug</v>
                </pt>
                <pt idx="8">
                  <v>Sep</v>
                </pt>
                <pt idx="9">
                  <v>Oct</v>
                </pt>
                <pt idx="10">
                  <v>Nov</v>
                </pt>
                <pt idx="11">
                  <v>Dec</v>
                </pt>
              </strCache>
            </strRef>
          </cat>
          <val>
            <numRef>
              <f>02_Monthly_Analysis!$E$4:$E$15</f>
              <numCache>
                <formatCode>#,##0</formatCode>
                <ptCount val="12"/>
                <pt idx="0">
                  <v>743174</v>
                </pt>
                <pt idx="1">
                  <v>356869</v>
                </pt>
                <pt idx="2">
                  <v>1013845</v>
                </pt>
                <pt idx="3">
                  <v>647140</v>
                </pt>
                <pt idx="4">
                  <v>745383</v>
                </pt>
                <pt idx="5">
                  <v>1223070</v>
                </pt>
                <pt idx="6">
                  <v>615889</v>
                </pt>
                <pt idx="7">
                  <v>1010377</v>
                </pt>
                <pt idx="8">
                  <v>1275185</v>
                </pt>
                <pt idx="9">
                  <v>1018448</v>
                </pt>
                <pt idx="10">
                  <v>2237775</v>
                </pt>
                <pt idx="11">
                  <v>1370330</v>
                </pt>
              </numCache>
            </numRef>
          </val>
          <smooth val="1"/>
        </ser>
        <hiLowLines>
          <spPr>
            <a:ln xmlns:a="http://schemas.openxmlformats.org/drawingml/2006/main" w="0">
              <a:noFill/>
              <a:prstDash val="solid"/>
            </a:ln>
          </spPr>
        </hiLowLines>
        <marker val="0"/>
        <axId val="20521508"/>
        <axId val="79919142"/>
      </lineChart>
      <catAx>
        <axId val="20521508"/>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Month</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79919142"/>
        <crosses val="autoZero"/>
        <auto val="1"/>
        <lblAlgn val="ctr"/>
        <lblOffset val="100"/>
        <noMultiLvlLbl val="0"/>
      </catAx>
      <valAx>
        <axId val="79919142"/>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Profit (Rs)</a:t>
                </a:r>
              </a:p>
            </rich>
          </tx>
          <overlay val="0"/>
          <spPr>
            <a:noFill xmlns:a="http://schemas.openxmlformats.org/drawingml/2006/main"/>
            <a:ln xmlns:a="http://schemas.openxmlformats.org/drawingml/2006/main" w="0">
              <a:noFill/>
              <a:prstDash val="solid"/>
            </a:ln>
          </spPr>
        </title>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20521508"/>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Revenue vs Profit by Product</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03_Product_Analysis!C3</f>
              <strCache>
                <ptCount val="1"/>
                <pt idx="0">
                  <v>Revenue (Rs)</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03_Product_Analysis!$A$4:$A$8</f>
              <strCache>
                <ptCount val="5"/>
                <pt idx="0">
                  <v>Laptop</v>
                </pt>
                <pt idx="1">
                  <v>Mobile</v>
                </pt>
                <pt idx="2">
                  <v>Tablet</v>
                </pt>
                <pt idx="3">
                  <v>Earphones</v>
                </pt>
                <pt idx="4">
                  <v>Smart Watch</v>
                </pt>
              </strCache>
            </strRef>
          </cat>
          <val>
            <numRef>
              <f>03_Product_Analysis!$C$4:$C$8</f>
              <numCache>
                <formatCode>#,##0</formatCode>
                <ptCount val="5"/>
                <pt idx="0">
                  <v>15785000</v>
                </pt>
                <pt idx="1">
                  <v>8568000</v>
                </pt>
                <pt idx="2">
                  <v>7225000</v>
                </pt>
                <pt idx="3">
                  <v>1169000</v>
                </pt>
                <pt idx="4">
                  <v>2196000</v>
                </pt>
              </numCache>
            </numRef>
          </val>
        </ser>
        <ser>
          <idx val="1"/>
          <order val="1"/>
          <tx>
            <strRef>
              <f>03_Product_Analysis!D3</f>
              <strCache>
                <ptCount val="1"/>
                <pt idx="0">
                  <v>Profit (Rs)</v>
                </pt>
              </strCache>
            </strRef>
          </tx>
          <spPr>
            <a:solidFill xmlns:a="http://schemas.openxmlformats.org/drawingml/2006/main">
              <a:srgbClr val="c0504d"/>
            </a:solidFill>
            <a:ln xmlns:a="http://schemas.openxmlformats.org/drawingml/2006/main" w="9360">
              <a:solidFill>
                <a:srgbClr val="f9f9f9"/>
              </a:solidFill>
              <a:prstDash val="solid"/>
              <a:roun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03_Product_Analysis!$A$4:$A$8</f>
              <strCache>
                <ptCount val="5"/>
                <pt idx="0">
                  <v>Laptop</v>
                </pt>
                <pt idx="1">
                  <v>Mobile</v>
                </pt>
                <pt idx="2">
                  <v>Tablet</v>
                </pt>
                <pt idx="3">
                  <v>Earphones</v>
                </pt>
                <pt idx="4">
                  <v>Smart Watch</v>
                </pt>
              </strCache>
            </strRef>
          </cat>
          <val>
            <numRef>
              <f>03_Product_Analysis!$D$4:$D$8</f>
              <numCache>
                <formatCode>#,##0</formatCode>
                <ptCount val="5"/>
                <pt idx="0">
                  <v>5025369</v>
                </pt>
                <pt idx="1">
                  <v>3253253</v>
                </pt>
                <pt idx="2">
                  <v>2567149</v>
                </pt>
                <pt idx="3">
                  <v>530881</v>
                </pt>
                <pt idx="4">
                  <v>880833</v>
                </pt>
              </numCache>
            </numRef>
          </val>
        </ser>
        <gapWidth val="150"/>
        <overlap val="0"/>
        <axId val="53475347"/>
        <axId val="42904060"/>
      </barChart>
      <catAx>
        <axId val="53475347"/>
        <scaling>
          <orientation val="minMax"/>
        </scaling>
        <delete val="0"/>
        <axPos val="b"/>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Amount (Rs)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42904060"/>
        <crosses val="autoZero"/>
        <auto val="1"/>
        <lblAlgn val="ctr"/>
        <lblOffset val="100"/>
        <noMultiLvlLbl val="0"/>
      </catAx>
      <valAx>
        <axId val="42904060"/>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Product</a:t>
                </a:r>
              </a:p>
            </rich>
          </tx>
          <overlay val="0"/>
          <spPr>
            <a:noFill xmlns:a="http://schemas.openxmlformats.org/drawingml/2006/main"/>
            <a:ln xmlns:a="http://schemas.openxmlformats.org/drawingml/2006/main" w="0">
              <a:noFill/>
              <a:prstDash val="solid"/>
            </a:ln>
          </spPr>
        </title>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53475347"/>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Revenue by Salesperson</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05_Salesperson_Analysis!C3</f>
              <strCache>
                <ptCount val="1"/>
                <pt idx="0">
                  <v>Revenue (Rs)</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05_Salesperson_Analysis!$A$4:$A$11</f>
              <strCache>
                <ptCount val="8"/>
                <pt idx="0">
                  <v>Rahul Sharma</v>
                </pt>
                <pt idx="1">
                  <v>Priya Singh</v>
                </pt>
                <pt idx="2">
                  <v>Amit Kumar</v>
                </pt>
                <pt idx="3">
                  <v>Sneha Patel</v>
                </pt>
                <pt idx="4">
                  <v>Vikas Rao</v>
                </pt>
                <pt idx="5">
                  <v>Neha Gupta</v>
                </pt>
                <pt idx="6">
                  <v>Rohit Verma</v>
                </pt>
                <pt idx="7">
                  <v>Kavita Joshi</v>
                </pt>
              </strCache>
            </strRef>
          </cat>
          <val>
            <numRef>
              <f>05_Salesperson_Analysis!$C$4:$C$11</f>
              <numCache>
                <formatCode>#,##0</formatCode>
                <ptCount val="8"/>
                <pt idx="0">
                  <v>5518000</v>
                </pt>
                <pt idx="1">
                  <v>2839000</v>
                </pt>
                <pt idx="2">
                  <v>5024000</v>
                </pt>
                <pt idx="3">
                  <v>3252500</v>
                </pt>
                <pt idx="4">
                  <v>3386500</v>
                </pt>
                <pt idx="5">
                  <v>5005000</v>
                </pt>
                <pt idx="6">
                  <v>5115000</v>
                </pt>
                <pt idx="7">
                  <v>4803000</v>
                </pt>
              </numCache>
            </numRef>
          </val>
        </ser>
        <gapWidth val="150"/>
        <overlap val="0"/>
        <axId val="95859665"/>
        <axId val="52409281"/>
      </barChart>
      <catAx>
        <axId val="95859665"/>
        <scaling>
          <orientation val="minMax"/>
        </scaling>
        <delete val="0"/>
        <axPos val="b"/>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Revenue (Rs)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52409281"/>
        <crosses val="autoZero"/>
        <auto val="1"/>
        <lblAlgn val="ctr"/>
        <lblOffset val="100"/>
        <noMultiLvlLbl val="0"/>
      </catAx>
      <valAx>
        <axId val="52409281"/>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Salesperson</a:t>
                </a:r>
              </a:p>
            </rich>
          </tx>
          <overlay val="0"/>
          <spPr>
            <a:noFill xmlns:a="http://schemas.openxmlformats.org/drawingml/2006/main"/>
            <a:ln xmlns:a="http://schemas.openxmlformats.org/drawingml/2006/main" w="0">
              <a:noFill/>
              <a:prstDash val="solid"/>
            </a:ln>
          </spPr>
        </title>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5859665"/>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twoCellAnchor editAs="oneCell">
    <from>
      <col>8</col>
      <colOff>0</colOff>
      <row>2</row>
      <rowOff>0</rowOff>
    </from>
    <to>
      <col>20</col>
      <colOff>581400</colOff>
      <row>27</row>
      <rowOff>144000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8</col>
      <colOff>0</colOff>
      <row>21</row>
      <rowOff>0</rowOff>
    </from>
    <to>
      <col>20</col>
      <colOff>581400</colOff>
      <row>47</row>
      <rowOff>86400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editAs="oneCell">
    <from>
      <col>8</col>
      <colOff>0</colOff>
      <row>2</row>
      <rowOff>0</rowOff>
    </from>
    <to>
      <col>20</col>
      <colOff>581400</colOff>
      <row>27</row>
      <rowOff>144000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8</col>
      <colOff>0</colOff>
      <row>2</row>
      <rowOff>0</rowOff>
    </from>
    <to>
      <col>20</col>
      <colOff>581760</colOff>
      <row>31</row>
      <rowOff>101880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filterMode="0">
    <outlinePr summaryBelow="1" summaryRight="1"/>
    <pageSetUpPr fitToPage="0"/>
  </sheetPr>
  <dimension ref="B2:K2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64" min="2" max="2"/>
    <col width="16" customWidth="1" style="64" min="3" max="3"/>
    <col width="14" customWidth="1" style="64" min="4" max="11"/>
  </cols>
  <sheetData>
    <row r="2" ht="49.5" customHeight="1" s="65">
      <c r="B2" s="66" t="inlineStr">
        <is>
          <t>ELECTRONICS SALES PERFORMANCE ANALYSIS — FY 2024</t>
        </is>
      </c>
    </row>
    <row r="3" ht="24" customHeight="1" s="65">
      <c r="B3" s="67" t="inlineStr">
        <is>
          <t>Analyst: Suhail Hussain  |  Tool: Microsoft Excel + Power Query  |  Period: Jan–Dec 2024</t>
        </is>
      </c>
    </row>
    <row r="5" ht="27.75" customHeight="1" s="65">
      <c r="B5" s="68" t="inlineStr">
        <is>
          <t>BUSINESS PROBLEM</t>
        </is>
      </c>
    </row>
    <row r="6" ht="79.5" customHeight="1" s="65">
      <c r="B6" s="69" t="inlineStr">
        <is>
          <t>An electronics retail company wants to understand its 2024 sales performance across products, regions, and salespeople. The management needs answers to 4 key questions:
1. Which months generated highest revenue — and why?
2. Which products are most profitable (not just highest revenue)?
3. Which region is underperforming and needs attention?
4. Who are the top salespeople and what can others learn from them?</t>
        </is>
      </c>
      <c r="C6" s="70" t="n"/>
      <c r="D6" s="70" t="n"/>
      <c r="E6" s="70" t="n"/>
      <c r="F6" s="70" t="n"/>
      <c r="G6" s="70" t="n"/>
      <c r="H6" s="70" t="n"/>
      <c r="I6" s="70" t="n"/>
      <c r="J6" s="70" t="n"/>
      <c r="K6" s="70" t="n"/>
    </row>
    <row r="7" ht="15" customHeight="1" s="65">
      <c r="B7" s="71" t="n"/>
    </row>
    <row r="8" ht="15" customHeight="1" s="65">
      <c r="B8" s="71" t="n"/>
    </row>
    <row r="9" ht="15" customHeight="1" s="65">
      <c r="B9" s="71" t="n"/>
    </row>
    <row r="11" ht="27.75" customHeight="1" s="65">
      <c r="B11" s="72" t="inlineStr">
        <is>
          <t>KEY FINDINGS (Summary)</t>
        </is>
      </c>
    </row>
    <row r="12" ht="36" customHeight="1" s="65">
      <c r="B12" s="73" t="inlineStr">
        <is>
          <t>FINDING 1</t>
        </is>
      </c>
      <c r="C12" s="74" t="n"/>
      <c r="D12" s="75" t="inlineStr">
        <is>
          <t>November &amp; December drove 24% of annual revenue — festive season effect confirmed.</t>
        </is>
      </c>
      <c r="E12" s="74" t="n"/>
      <c r="F12" s="74" t="n"/>
      <c r="G12" s="74" t="n"/>
      <c r="H12" s="74" t="n"/>
      <c r="I12" s="74" t="n"/>
      <c r="J12" s="74" t="n"/>
      <c r="K12" s="74" t="n"/>
    </row>
    <row r="13" ht="36" customHeight="1" s="65">
      <c r="B13" s="73" t="inlineStr">
        <is>
          <t>FINDING 2</t>
        </is>
      </c>
      <c r="C13" s="74" t="n"/>
      <c r="D13" s="75" t="inlineStr">
        <is>
          <t>Earphones have the highest profit margin (45%) despite low revenue — hidden gem product.</t>
        </is>
      </c>
      <c r="E13" s="74" t="n"/>
      <c r="F13" s="74" t="n"/>
      <c r="G13" s="74" t="n"/>
      <c r="H13" s="74" t="n"/>
      <c r="I13" s="74" t="n"/>
      <c r="J13" s="74" t="n"/>
      <c r="K13" s="74" t="n"/>
    </row>
    <row r="14" ht="36" customHeight="1" s="65">
      <c r="B14" s="76" t="inlineStr">
        <is>
          <t>FINDING 3</t>
        </is>
      </c>
      <c r="C14" s="74" t="n"/>
      <c r="D14" s="77" t="inlineStr">
        <is>
          <t>East region contributes only 20% of revenue but has 25% of orders — pricing or deal-size issue.</t>
        </is>
      </c>
      <c r="E14" s="74" t="n"/>
      <c r="F14" s="74" t="n"/>
      <c r="G14" s="74" t="n"/>
      <c r="H14" s="74" t="n"/>
      <c r="I14" s="74" t="n"/>
      <c r="J14" s="74" t="n"/>
      <c r="K14" s="74" t="n"/>
    </row>
    <row r="15" ht="36" customHeight="1" s="65">
      <c r="B15" s="78" t="inlineStr">
        <is>
          <t>FINDING 4</t>
        </is>
      </c>
      <c r="C15" s="74" t="n"/>
      <c r="D15" s="79" t="inlineStr">
        <is>
          <t>Top 2 salespeople (Rahul &amp; Priya) generate 35%+ of total revenue — knowledge transfer needed.</t>
        </is>
      </c>
      <c r="E15" s="74" t="n"/>
      <c r="F15" s="74" t="n"/>
      <c r="G15" s="74" t="n"/>
      <c r="H15" s="74" t="n"/>
      <c r="I15" s="74" t="n"/>
      <c r="J15" s="74" t="n"/>
      <c r="K15" s="74" t="n"/>
    </row>
    <row r="17" ht="27.75" customHeight="1" s="65">
      <c r="B17" s="80" t="inlineStr">
        <is>
          <t>RECOMMENDATIONS</t>
        </is>
      </c>
    </row>
    <row r="18" ht="90" customHeight="1" s="65">
      <c r="B18" s="81" t="inlineStr">
        <is>
          <t>1. Increase Earphone inventory &amp; marketing budget by 20% — highest margin product with growth potential.
2. Launch targeted promotions in East region: bundle deals &amp; volume discounts to increase average order value.
3. Plan festive stock 6 weeks in advance (Oct–Nov) to avoid stockouts during peak demand.
4. Pair underperforming salespeople with Rahul/Priya for mentoring — replicate their selling strategy.</t>
        </is>
      </c>
      <c r="C18" s="70" t="n"/>
      <c r="D18" s="70" t="n"/>
      <c r="E18" s="70" t="n"/>
      <c r="F18" s="70" t="n"/>
      <c r="G18" s="70" t="n"/>
      <c r="H18" s="70" t="n"/>
      <c r="I18" s="70" t="n"/>
      <c r="J18" s="70" t="n"/>
      <c r="K18" s="70" t="n"/>
    </row>
    <row r="19" ht="15" customHeight="1" s="65">
      <c r="B19" s="71" t="n"/>
    </row>
    <row r="20" ht="15" customHeight="1" s="65">
      <c r="B20" s="71" t="n"/>
    </row>
    <row r="21" ht="15" customHeight="1" s="65">
      <c r="B21" s="71" t="n"/>
    </row>
    <row r="23" ht="25.5" customHeight="1" s="65">
      <c r="B23" s="82" t="inlineStr">
        <is>
          <t>WORKBOOK GUIDE</t>
        </is>
      </c>
    </row>
    <row r="24" ht="21.75" customHeight="1" s="65">
      <c r="B24" s="83" t="inlineStr">
        <is>
          <t>01_Raw_Data</t>
        </is>
      </c>
      <c r="C24" s="84" t="inlineStr">
        <is>
          <t>295 rows of order-level transaction data</t>
        </is>
      </c>
      <c r="D24" s="74" t="n"/>
      <c r="E24" s="74" t="n"/>
      <c r="F24" s="74" t="n"/>
      <c r="G24" s="74" t="n"/>
      <c r="H24" s="74" t="n"/>
      <c r="I24" s="74" t="n"/>
      <c r="J24" s="74" t="n"/>
      <c r="K24" s="74" t="n"/>
    </row>
    <row r="25" ht="21.75" customHeight="1" s="65">
      <c r="B25" s="83" t="inlineStr">
        <is>
          <t>02_Monthly_Analysis</t>
        </is>
      </c>
      <c r="C25" s="84" t="inlineStr">
        <is>
          <t>Month-wise revenue, profit, and order trend</t>
        </is>
      </c>
      <c r="D25" s="74" t="n"/>
      <c r="E25" s="74" t="n"/>
      <c r="F25" s="74" t="n"/>
      <c r="G25" s="74" t="n"/>
      <c r="H25" s="74" t="n"/>
      <c r="I25" s="74" t="n"/>
      <c r="J25" s="74" t="n"/>
      <c r="K25" s="74" t="n"/>
    </row>
    <row r="26" ht="21.75" customHeight="1" s="65">
      <c r="B26" s="83" t="inlineStr">
        <is>
          <t>03_Product_Analysis</t>
        </is>
      </c>
      <c r="C26" s="84" t="inlineStr">
        <is>
          <t>Product profitability comparison &amp; ranking</t>
        </is>
      </c>
      <c r="D26" s="74" t="n"/>
      <c r="E26" s="74" t="n"/>
      <c r="F26" s="74" t="n"/>
      <c r="G26" s="74" t="n"/>
      <c r="H26" s="74" t="n"/>
      <c r="I26" s="74" t="n"/>
      <c r="J26" s="74" t="n"/>
      <c r="K26" s="74" t="n"/>
    </row>
    <row r="27" ht="21.75" customHeight="1" s="65">
      <c r="B27" s="83" t="inlineStr">
        <is>
          <t>04_Region_Analysis</t>
        </is>
      </c>
      <c r="C27" s="84" t="inlineStr">
        <is>
          <t>Region-wise performance &amp; market share</t>
        </is>
      </c>
      <c r="D27" s="74" t="n"/>
      <c r="E27" s="74" t="n"/>
      <c r="F27" s="74" t="n"/>
      <c r="G27" s="74" t="n"/>
      <c r="H27" s="74" t="n"/>
      <c r="I27" s="74" t="n"/>
      <c r="J27" s="74" t="n"/>
      <c r="K27" s="74" t="n"/>
    </row>
    <row r="28" ht="21.75" customHeight="1" s="65">
      <c r="B28" s="83" t="inlineStr">
        <is>
          <t>05_Salesperson_Analysis</t>
        </is>
      </c>
      <c r="C28" s="84" t="inlineStr">
        <is>
          <t>Individual salesperson performance ranking</t>
        </is>
      </c>
      <c r="D28" s="74" t="n"/>
      <c r="E28" s="74" t="n"/>
      <c r="F28" s="74" t="n"/>
      <c r="G28" s="74" t="n"/>
      <c r="H28" s="74" t="n"/>
      <c r="I28" s="74" t="n"/>
      <c r="J28" s="74" t="n"/>
      <c r="K28" s="74" t="n"/>
    </row>
    <row r="29" ht="21.75" customHeight="1" s="65">
      <c r="B29" s="83" t="inlineStr">
        <is>
          <t>06_Executive_Dashboard</t>
        </is>
      </c>
      <c r="C29" s="84" t="inlineStr">
        <is>
          <t>One-page visual summary for management</t>
        </is>
      </c>
      <c r="D29" s="74" t="n"/>
      <c r="E29" s="74" t="n"/>
      <c r="F29" s="74" t="n"/>
      <c r="G29" s="74" t="n"/>
      <c r="H29" s="74" t="n"/>
      <c r="I29" s="74" t="n"/>
      <c r="J29" s="74" t="n"/>
      <c r="K29" s="74" t="n"/>
    </row>
  </sheetData>
  <mergeCells count="22">
    <mergeCell ref="C25:K25"/>
    <mergeCell ref="B18:K21"/>
    <mergeCell ref="B5:K5"/>
    <mergeCell ref="B12:C12"/>
    <mergeCell ref="C27:K27"/>
    <mergeCell ref="D13:K13"/>
    <mergeCell ref="B14:C14"/>
    <mergeCell ref="B3:K3"/>
    <mergeCell ref="B13:C13"/>
    <mergeCell ref="C28:K28"/>
    <mergeCell ref="B2:K2"/>
    <mergeCell ref="B11:K11"/>
    <mergeCell ref="B6:K9"/>
    <mergeCell ref="D12:K12"/>
    <mergeCell ref="C24:K24"/>
    <mergeCell ref="B23:K23"/>
    <mergeCell ref="B15:C15"/>
    <mergeCell ref="D15:K15"/>
    <mergeCell ref="B17:K17"/>
    <mergeCell ref="D14:K14"/>
    <mergeCell ref="C26:K26"/>
    <mergeCell ref="C29:K2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25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4" min="1" max="1"/>
    <col width="8" customWidth="1" style="64" min="2" max="2"/>
    <col width="9" customWidth="1" style="64" min="3" max="3"/>
    <col width="14" customWidth="1" style="64" min="4" max="4"/>
    <col width="12" customWidth="1" style="64" min="5" max="5"/>
    <col width="10" customWidth="1" style="64" min="6" max="6"/>
    <col width="16" customWidth="1" style="64" min="7" max="7"/>
    <col width="12" customWidth="1" style="64" min="8" max="9"/>
    <col width="14" customWidth="1" style="64" min="10" max="11"/>
    <col width="12" customWidth="1" style="64" min="12" max="12"/>
    <col width="16" customWidth="1" style="64" min="13" max="13"/>
  </cols>
  <sheetData>
    <row r="1" ht="27.75" customHeight="1" s="65">
      <c r="A1" s="85" t="inlineStr">
        <is>
          <t>Order_ID</t>
        </is>
      </c>
      <c r="B1" s="85" t="inlineStr">
        <is>
          <t>Month</t>
        </is>
      </c>
      <c r="C1" s="85" t="inlineStr">
        <is>
          <t>Quarter</t>
        </is>
      </c>
      <c r="D1" s="85" t="inlineStr">
        <is>
          <t>Product</t>
        </is>
      </c>
      <c r="E1" s="85" t="inlineStr">
        <is>
          <t>Category</t>
        </is>
      </c>
      <c r="F1" s="85" t="inlineStr">
        <is>
          <t>Region</t>
        </is>
      </c>
      <c r="G1" s="85" t="inlineStr">
        <is>
          <t>Salesperson</t>
        </is>
      </c>
      <c r="H1" s="85" t="inlineStr">
        <is>
          <t>Units_Sold</t>
        </is>
      </c>
      <c r="I1" s="85" t="inlineStr">
        <is>
          <t>Unit_Price</t>
        </is>
      </c>
      <c r="J1" s="85" t="inlineStr">
        <is>
          <t>Revenue</t>
        </is>
      </c>
      <c r="K1" s="85" t="inlineStr">
        <is>
          <t>Cost</t>
        </is>
      </c>
      <c r="L1" s="85" t="inlineStr">
        <is>
          <t>Profit</t>
        </is>
      </c>
      <c r="M1" s="85" t="inlineStr">
        <is>
          <t>Profit_Margin_%</t>
        </is>
      </c>
    </row>
    <row r="2" ht="15" customHeight="1" s="65">
      <c r="A2" s="86" t="n">
        <v>1001</v>
      </c>
      <c r="B2" s="86" t="inlineStr">
        <is>
          <t>Jan</t>
        </is>
      </c>
      <c r="C2" s="86" t="inlineStr">
        <is>
          <t>Q1</t>
        </is>
      </c>
      <c r="D2" s="87" t="inlineStr">
        <is>
          <t>Mobile</t>
        </is>
      </c>
      <c r="E2" s="87" t="inlineStr">
        <is>
          <t>Electronics</t>
        </is>
      </c>
      <c r="F2" s="87" t="inlineStr">
        <is>
          <t>North</t>
        </is>
      </c>
      <c r="G2" s="87" t="inlineStr">
        <is>
          <t>Amit Kumar</t>
        </is>
      </c>
      <c r="H2" s="86" t="n">
        <v>3</v>
      </c>
      <c r="I2" s="88" t="n">
        <v>18000</v>
      </c>
      <c r="J2" s="88" t="n">
        <v>54000</v>
      </c>
      <c r="K2" s="88" t="n">
        <v>32393</v>
      </c>
      <c r="L2" s="88" t="n">
        <v>21607</v>
      </c>
      <c r="M2" s="89" t="n">
        <v>40.01</v>
      </c>
    </row>
    <row r="3" ht="15" customHeight="1" s="65">
      <c r="A3" s="90" t="n">
        <v>1002</v>
      </c>
      <c r="B3" s="90" t="inlineStr">
        <is>
          <t>Jan</t>
        </is>
      </c>
      <c r="C3" s="90" t="inlineStr">
        <is>
          <t>Q1</t>
        </is>
      </c>
      <c r="D3" s="91" t="inlineStr">
        <is>
          <t>Earphones</t>
        </is>
      </c>
      <c r="E3" s="91" t="inlineStr">
        <is>
          <t>Electronics</t>
        </is>
      </c>
      <c r="F3" s="91" t="inlineStr">
        <is>
          <t>North</t>
        </is>
      </c>
      <c r="G3" s="91" t="inlineStr">
        <is>
          <t>Rohit Verma</t>
        </is>
      </c>
      <c r="H3" s="90" t="n">
        <v>7</v>
      </c>
      <c r="I3" s="92" t="n">
        <v>3500</v>
      </c>
      <c r="J3" s="92" t="n">
        <v>24500</v>
      </c>
      <c r="K3" s="92" t="n">
        <v>13836</v>
      </c>
      <c r="L3" s="92" t="n">
        <v>10664</v>
      </c>
      <c r="M3" s="93" t="n">
        <v>43.53</v>
      </c>
    </row>
    <row r="4" ht="15" customHeight="1" s="65">
      <c r="A4" s="86" t="n">
        <v>1003</v>
      </c>
      <c r="B4" s="86" t="inlineStr">
        <is>
          <t>Jan</t>
        </is>
      </c>
      <c r="C4" s="86" t="inlineStr">
        <is>
          <t>Q1</t>
        </is>
      </c>
      <c r="D4" s="87" t="inlineStr">
        <is>
          <t>Tablet</t>
        </is>
      </c>
      <c r="E4" s="87" t="inlineStr">
        <is>
          <t>Electronics</t>
        </is>
      </c>
      <c r="F4" s="87" t="inlineStr">
        <is>
          <t>West</t>
        </is>
      </c>
      <c r="G4" s="87" t="inlineStr">
        <is>
          <t>Kavita Joshi</t>
        </is>
      </c>
      <c r="H4" s="86" t="n">
        <v>3</v>
      </c>
      <c r="I4" s="88" t="n">
        <v>25000</v>
      </c>
      <c r="J4" s="88" t="n">
        <v>75000</v>
      </c>
      <c r="K4" s="88" t="n">
        <v>48280</v>
      </c>
      <c r="L4" s="88" t="n">
        <v>26720</v>
      </c>
      <c r="M4" s="89" t="n">
        <v>35.63</v>
      </c>
    </row>
    <row r="5" ht="15" customHeight="1" s="65">
      <c r="A5" s="90" t="n">
        <v>1004</v>
      </c>
      <c r="B5" s="90" t="inlineStr">
        <is>
          <t>Jan</t>
        </is>
      </c>
      <c r="C5" s="90" t="inlineStr">
        <is>
          <t>Q1</t>
        </is>
      </c>
      <c r="D5" s="91" t="inlineStr">
        <is>
          <t>Tablet</t>
        </is>
      </c>
      <c r="E5" s="91" t="inlineStr">
        <is>
          <t>Electronics</t>
        </is>
      </c>
      <c r="F5" s="91" t="inlineStr">
        <is>
          <t>North</t>
        </is>
      </c>
      <c r="G5" s="91" t="inlineStr">
        <is>
          <t>Neha Gupta</t>
        </is>
      </c>
      <c r="H5" s="90" t="n">
        <v>6</v>
      </c>
      <c r="I5" s="92" t="n">
        <v>25000</v>
      </c>
      <c r="J5" s="92" t="n">
        <v>150000</v>
      </c>
      <c r="K5" s="92" t="n">
        <v>101838</v>
      </c>
      <c r="L5" s="92" t="n">
        <v>48162</v>
      </c>
      <c r="M5" s="93" t="n">
        <v>32.11</v>
      </c>
    </row>
    <row r="6" ht="15" customHeight="1" s="65">
      <c r="A6" s="86" t="n">
        <v>1005</v>
      </c>
      <c r="B6" s="86" t="inlineStr">
        <is>
          <t>Jan</t>
        </is>
      </c>
      <c r="C6" s="86" t="inlineStr">
        <is>
          <t>Q1</t>
        </is>
      </c>
      <c r="D6" s="87" t="inlineStr">
        <is>
          <t>Mobile</t>
        </is>
      </c>
      <c r="E6" s="87" t="inlineStr">
        <is>
          <t>Electronics</t>
        </is>
      </c>
      <c r="F6" s="87" t="inlineStr">
        <is>
          <t>South</t>
        </is>
      </c>
      <c r="G6" s="87" t="inlineStr">
        <is>
          <t>Amit Kumar</t>
        </is>
      </c>
      <c r="H6" s="86" t="n">
        <v>8</v>
      </c>
      <c r="I6" s="88" t="n">
        <v>18000</v>
      </c>
      <c r="J6" s="88" t="n">
        <v>144000</v>
      </c>
      <c r="K6" s="88" t="n">
        <v>87423</v>
      </c>
      <c r="L6" s="88" t="n">
        <v>56577</v>
      </c>
      <c r="M6" s="89" t="n">
        <v>39.29</v>
      </c>
    </row>
    <row r="7" ht="15" customHeight="1" s="65">
      <c r="A7" s="90" t="n">
        <v>1006</v>
      </c>
      <c r="B7" s="90" t="inlineStr">
        <is>
          <t>Jan</t>
        </is>
      </c>
      <c r="C7" s="90" t="inlineStr">
        <is>
          <t>Q1</t>
        </is>
      </c>
      <c r="D7" s="91" t="inlineStr">
        <is>
          <t>Smart Watch</t>
        </is>
      </c>
      <c r="E7" s="91" t="inlineStr">
        <is>
          <t>Electronics</t>
        </is>
      </c>
      <c r="F7" s="91" t="inlineStr">
        <is>
          <t>South</t>
        </is>
      </c>
      <c r="G7" s="91" t="inlineStr">
        <is>
          <t>Priya Singh</t>
        </is>
      </c>
      <c r="H7" s="90" t="n">
        <v>6</v>
      </c>
      <c r="I7" s="92" t="n">
        <v>12000</v>
      </c>
      <c r="J7" s="92" t="n">
        <v>72000</v>
      </c>
      <c r="K7" s="92" t="n">
        <v>42142</v>
      </c>
      <c r="L7" s="92" t="n">
        <v>29858</v>
      </c>
      <c r="M7" s="93" t="n">
        <v>41.47</v>
      </c>
    </row>
    <row r="8" ht="15" customHeight="1" s="65">
      <c r="A8" s="86" t="n">
        <v>1007</v>
      </c>
      <c r="B8" s="86" t="inlineStr">
        <is>
          <t>Jan</t>
        </is>
      </c>
      <c r="C8" s="86" t="inlineStr">
        <is>
          <t>Q1</t>
        </is>
      </c>
      <c r="D8" s="87" t="inlineStr">
        <is>
          <t>Laptop</t>
        </is>
      </c>
      <c r="E8" s="87" t="inlineStr">
        <is>
          <t>Electronics</t>
        </is>
      </c>
      <c r="F8" s="87" t="inlineStr">
        <is>
          <t>East</t>
        </is>
      </c>
      <c r="G8" s="87" t="inlineStr">
        <is>
          <t>Rohit Verma</t>
        </is>
      </c>
      <c r="H8" s="86" t="n">
        <v>2</v>
      </c>
      <c r="I8" s="88" t="n">
        <v>55000</v>
      </c>
      <c r="J8" s="88" t="n">
        <v>110000</v>
      </c>
      <c r="K8" s="88" t="n">
        <v>73590</v>
      </c>
      <c r="L8" s="88" t="n">
        <v>36410</v>
      </c>
      <c r="M8" s="89" t="n">
        <v>33.1</v>
      </c>
    </row>
    <row r="9" ht="15" customHeight="1" s="65">
      <c r="A9" s="90" t="n">
        <v>1008</v>
      </c>
      <c r="B9" s="90" t="inlineStr">
        <is>
          <t>Jan</t>
        </is>
      </c>
      <c r="C9" s="90" t="inlineStr">
        <is>
          <t>Q1</t>
        </is>
      </c>
      <c r="D9" s="91" t="inlineStr">
        <is>
          <t>Smart Watch</t>
        </is>
      </c>
      <c r="E9" s="91" t="inlineStr">
        <is>
          <t>Electronics</t>
        </is>
      </c>
      <c r="F9" s="91" t="inlineStr">
        <is>
          <t>North</t>
        </is>
      </c>
      <c r="G9" s="91" t="inlineStr">
        <is>
          <t>Sneha Patel</t>
        </is>
      </c>
      <c r="H9" s="90" t="n">
        <v>8</v>
      </c>
      <c r="I9" s="92" t="n">
        <v>12000</v>
      </c>
      <c r="J9" s="92" t="n">
        <v>96000</v>
      </c>
      <c r="K9" s="92" t="n">
        <v>57314</v>
      </c>
      <c r="L9" s="92" t="n">
        <v>38686</v>
      </c>
      <c r="M9" s="93" t="n">
        <v>40.3</v>
      </c>
    </row>
    <row r="10" ht="15" customHeight="1" s="65">
      <c r="A10" s="86" t="n">
        <v>1009</v>
      </c>
      <c r="B10" s="86" t="inlineStr">
        <is>
          <t>Jan</t>
        </is>
      </c>
      <c r="C10" s="86" t="inlineStr">
        <is>
          <t>Q1</t>
        </is>
      </c>
      <c r="D10" s="87" t="inlineStr">
        <is>
          <t>Laptop</t>
        </is>
      </c>
      <c r="E10" s="87" t="inlineStr">
        <is>
          <t>Electronics</t>
        </is>
      </c>
      <c r="F10" s="87" t="inlineStr">
        <is>
          <t>North</t>
        </is>
      </c>
      <c r="G10" s="87" t="inlineStr">
        <is>
          <t>Amit Kumar</t>
        </is>
      </c>
      <c r="H10" s="86" t="n">
        <v>10</v>
      </c>
      <c r="I10" s="88" t="n">
        <v>55000</v>
      </c>
      <c r="J10" s="88" t="n">
        <v>550000</v>
      </c>
      <c r="K10" s="88" t="n">
        <v>386841</v>
      </c>
      <c r="L10" s="88" t="n">
        <v>163159</v>
      </c>
      <c r="M10" s="89" t="n">
        <v>29.67</v>
      </c>
    </row>
    <row r="11" ht="15" customHeight="1" s="65">
      <c r="A11" s="90" t="n">
        <v>1010</v>
      </c>
      <c r="B11" s="90" t="inlineStr">
        <is>
          <t>Jan</t>
        </is>
      </c>
      <c r="C11" s="90" t="inlineStr">
        <is>
          <t>Q1</t>
        </is>
      </c>
      <c r="D11" s="91" t="inlineStr">
        <is>
          <t>Tablet</t>
        </is>
      </c>
      <c r="E11" s="91" t="inlineStr">
        <is>
          <t>Electronics</t>
        </is>
      </c>
      <c r="F11" s="91" t="inlineStr">
        <is>
          <t>West</t>
        </is>
      </c>
      <c r="G11" s="91" t="inlineStr">
        <is>
          <t>Amit Kumar</t>
        </is>
      </c>
      <c r="H11" s="90" t="n">
        <v>1</v>
      </c>
      <c r="I11" s="92" t="n">
        <v>25000</v>
      </c>
      <c r="J11" s="92" t="n">
        <v>25000</v>
      </c>
      <c r="K11" s="92" t="n">
        <v>15470</v>
      </c>
      <c r="L11" s="92" t="n">
        <v>9530</v>
      </c>
      <c r="M11" s="93" t="n">
        <v>38.12</v>
      </c>
    </row>
    <row r="12" ht="15" customHeight="1" s="65">
      <c r="A12" s="86" t="n">
        <v>1011</v>
      </c>
      <c r="B12" s="86" t="inlineStr">
        <is>
          <t>Jan</t>
        </is>
      </c>
      <c r="C12" s="86" t="inlineStr">
        <is>
          <t>Q1</t>
        </is>
      </c>
      <c r="D12" s="87" t="inlineStr">
        <is>
          <t>Mobile</t>
        </is>
      </c>
      <c r="E12" s="87" t="inlineStr">
        <is>
          <t>Electronics</t>
        </is>
      </c>
      <c r="F12" s="87" t="inlineStr">
        <is>
          <t>East</t>
        </is>
      </c>
      <c r="G12" s="87" t="inlineStr">
        <is>
          <t>Rohit Verma</t>
        </is>
      </c>
      <c r="H12" s="86" t="n">
        <v>1</v>
      </c>
      <c r="I12" s="88" t="n">
        <v>18000</v>
      </c>
      <c r="J12" s="88" t="n">
        <v>18000</v>
      </c>
      <c r="K12" s="88" t="n">
        <v>11789</v>
      </c>
      <c r="L12" s="88" t="n">
        <v>6211</v>
      </c>
      <c r="M12" s="89" t="n">
        <v>34.51</v>
      </c>
    </row>
    <row r="13" ht="15" customHeight="1" s="65">
      <c r="A13" s="90" t="n">
        <v>1012</v>
      </c>
      <c r="B13" s="90" t="inlineStr">
        <is>
          <t>Jan</t>
        </is>
      </c>
      <c r="C13" s="90" t="inlineStr">
        <is>
          <t>Q1</t>
        </is>
      </c>
      <c r="D13" s="91" t="inlineStr">
        <is>
          <t>Tablet</t>
        </is>
      </c>
      <c r="E13" s="91" t="inlineStr">
        <is>
          <t>Electronics</t>
        </is>
      </c>
      <c r="F13" s="91" t="inlineStr">
        <is>
          <t>North</t>
        </is>
      </c>
      <c r="G13" s="91" t="inlineStr">
        <is>
          <t>Rahul Sharma</t>
        </is>
      </c>
      <c r="H13" s="90" t="n">
        <v>6</v>
      </c>
      <c r="I13" s="92" t="n">
        <v>25000</v>
      </c>
      <c r="J13" s="92" t="n">
        <v>150000</v>
      </c>
      <c r="K13" s="92" t="n">
        <v>95456</v>
      </c>
      <c r="L13" s="92" t="n">
        <v>54544</v>
      </c>
      <c r="M13" s="93" t="n">
        <v>36.36</v>
      </c>
    </row>
    <row r="14" ht="15" customHeight="1" s="65">
      <c r="A14" s="86" t="n">
        <v>1013</v>
      </c>
      <c r="B14" s="86" t="inlineStr">
        <is>
          <t>Jan</t>
        </is>
      </c>
      <c r="C14" s="86" t="inlineStr">
        <is>
          <t>Q1</t>
        </is>
      </c>
      <c r="D14" s="87" t="inlineStr">
        <is>
          <t>Tablet</t>
        </is>
      </c>
      <c r="E14" s="87" t="inlineStr">
        <is>
          <t>Electronics</t>
        </is>
      </c>
      <c r="F14" s="87" t="inlineStr">
        <is>
          <t>North</t>
        </is>
      </c>
      <c r="G14" s="87" t="inlineStr">
        <is>
          <t>Rahul Sharma</t>
        </is>
      </c>
      <c r="H14" s="86" t="n">
        <v>9</v>
      </c>
      <c r="I14" s="88" t="n">
        <v>25000</v>
      </c>
      <c r="J14" s="88" t="n">
        <v>225000</v>
      </c>
      <c r="K14" s="88" t="n">
        <v>141056</v>
      </c>
      <c r="L14" s="88" t="n">
        <v>83944</v>
      </c>
      <c r="M14" s="89" t="n">
        <v>37.31</v>
      </c>
    </row>
    <row r="15" ht="15" customHeight="1" s="65">
      <c r="A15" s="90" t="n">
        <v>1014</v>
      </c>
      <c r="B15" s="90" t="inlineStr">
        <is>
          <t>Jan</t>
        </is>
      </c>
      <c r="C15" s="90" t="inlineStr">
        <is>
          <t>Q1</t>
        </is>
      </c>
      <c r="D15" s="91" t="inlineStr">
        <is>
          <t>Mobile</t>
        </is>
      </c>
      <c r="E15" s="91" t="inlineStr">
        <is>
          <t>Electronics</t>
        </is>
      </c>
      <c r="F15" s="91" t="inlineStr">
        <is>
          <t>South</t>
        </is>
      </c>
      <c r="G15" s="91" t="inlineStr">
        <is>
          <t>Amit Kumar</t>
        </is>
      </c>
      <c r="H15" s="90" t="n">
        <v>4</v>
      </c>
      <c r="I15" s="92" t="n">
        <v>18000</v>
      </c>
      <c r="J15" s="92" t="n">
        <v>72000</v>
      </c>
      <c r="K15" s="92" t="n">
        <v>47182</v>
      </c>
      <c r="L15" s="92" t="n">
        <v>24818</v>
      </c>
      <c r="M15" s="93" t="n">
        <v>34.47</v>
      </c>
    </row>
    <row r="16" ht="15" customHeight="1" s="65">
      <c r="A16" s="86" t="n">
        <v>1015</v>
      </c>
      <c r="B16" s="86" t="inlineStr">
        <is>
          <t>Jan</t>
        </is>
      </c>
      <c r="C16" s="86" t="inlineStr">
        <is>
          <t>Q1</t>
        </is>
      </c>
      <c r="D16" s="87" t="inlineStr">
        <is>
          <t>Tablet</t>
        </is>
      </c>
      <c r="E16" s="87" t="inlineStr">
        <is>
          <t>Electronics</t>
        </is>
      </c>
      <c r="F16" s="87" t="inlineStr">
        <is>
          <t>North</t>
        </is>
      </c>
      <c r="G16" s="87" t="inlineStr">
        <is>
          <t>Amit Kumar</t>
        </is>
      </c>
      <c r="H16" s="86" t="n">
        <v>8</v>
      </c>
      <c r="I16" s="88" t="n">
        <v>25000</v>
      </c>
      <c r="J16" s="88" t="n">
        <v>200000</v>
      </c>
      <c r="K16" s="88" t="n">
        <v>137060</v>
      </c>
      <c r="L16" s="88" t="n">
        <v>62940</v>
      </c>
      <c r="M16" s="89" t="n">
        <v>31.47</v>
      </c>
    </row>
    <row r="17" ht="15" customHeight="1" s="65">
      <c r="A17" s="90" t="n">
        <v>1016</v>
      </c>
      <c r="B17" s="90" t="inlineStr">
        <is>
          <t>Jan</t>
        </is>
      </c>
      <c r="C17" s="90" t="inlineStr">
        <is>
          <t>Q1</t>
        </is>
      </c>
      <c r="D17" s="91" t="inlineStr">
        <is>
          <t>Laptop</t>
        </is>
      </c>
      <c r="E17" s="91" t="inlineStr">
        <is>
          <t>Electronics</t>
        </is>
      </c>
      <c r="F17" s="91" t="inlineStr">
        <is>
          <t>North</t>
        </is>
      </c>
      <c r="G17" s="91" t="inlineStr">
        <is>
          <t>Vikas Rao</t>
        </is>
      </c>
      <c r="H17" s="90" t="n">
        <v>2</v>
      </c>
      <c r="I17" s="92" t="n">
        <v>55000</v>
      </c>
      <c r="J17" s="92" t="n">
        <v>110000</v>
      </c>
      <c r="K17" s="92" t="n">
        <v>79122</v>
      </c>
      <c r="L17" s="92" t="n">
        <v>30878</v>
      </c>
      <c r="M17" s="93" t="n">
        <v>28.07</v>
      </c>
    </row>
    <row r="18" ht="15" customHeight="1" s="65">
      <c r="A18" s="86" t="n">
        <v>1017</v>
      </c>
      <c r="B18" s="86" t="inlineStr">
        <is>
          <t>Jan</t>
        </is>
      </c>
      <c r="C18" s="86" t="inlineStr">
        <is>
          <t>Q1</t>
        </is>
      </c>
      <c r="D18" s="87" t="inlineStr">
        <is>
          <t>Mobile</t>
        </is>
      </c>
      <c r="E18" s="87" t="inlineStr">
        <is>
          <t>Electronics</t>
        </is>
      </c>
      <c r="F18" s="87" t="inlineStr">
        <is>
          <t>West</t>
        </is>
      </c>
      <c r="G18" s="87" t="inlineStr">
        <is>
          <t>Neha Gupta</t>
        </is>
      </c>
      <c r="H18" s="86" t="n">
        <v>6</v>
      </c>
      <c r="I18" s="88" t="n">
        <v>18000</v>
      </c>
      <c r="J18" s="88" t="n">
        <v>108000</v>
      </c>
      <c r="K18" s="88" t="n">
        <v>69534</v>
      </c>
      <c r="L18" s="88" t="n">
        <v>38466</v>
      </c>
      <c r="M18" s="89" t="n">
        <v>35.62</v>
      </c>
    </row>
    <row r="19" ht="15" customHeight="1" s="65">
      <c r="A19" s="90" t="n">
        <v>1018</v>
      </c>
      <c r="B19" s="90" t="inlineStr">
        <is>
          <t>Feb</t>
        </is>
      </c>
      <c r="C19" s="90" t="inlineStr">
        <is>
          <t>Q1</t>
        </is>
      </c>
      <c r="D19" s="91" t="inlineStr">
        <is>
          <t>Earphones</t>
        </is>
      </c>
      <c r="E19" s="91" t="inlineStr">
        <is>
          <t>Electronics</t>
        </is>
      </c>
      <c r="F19" s="91" t="inlineStr">
        <is>
          <t>North</t>
        </is>
      </c>
      <c r="G19" s="91" t="inlineStr">
        <is>
          <t>Neha Gupta</t>
        </is>
      </c>
      <c r="H19" s="90" t="n">
        <v>2</v>
      </c>
      <c r="I19" s="92" t="n">
        <v>3500</v>
      </c>
      <c r="J19" s="92" t="n">
        <v>7000</v>
      </c>
      <c r="K19" s="92" t="n">
        <v>3950</v>
      </c>
      <c r="L19" s="92" t="n">
        <v>3050</v>
      </c>
      <c r="M19" s="93" t="n">
        <v>43.57</v>
      </c>
    </row>
    <row r="20" ht="15" customHeight="1" s="65">
      <c r="A20" s="86" t="n">
        <v>1019</v>
      </c>
      <c r="B20" s="86" t="inlineStr">
        <is>
          <t>Feb</t>
        </is>
      </c>
      <c r="C20" s="86" t="inlineStr">
        <is>
          <t>Q1</t>
        </is>
      </c>
      <c r="D20" s="87" t="inlineStr">
        <is>
          <t>Tablet</t>
        </is>
      </c>
      <c r="E20" s="87" t="inlineStr">
        <is>
          <t>Electronics</t>
        </is>
      </c>
      <c r="F20" s="87" t="inlineStr">
        <is>
          <t>North</t>
        </is>
      </c>
      <c r="G20" s="87" t="inlineStr">
        <is>
          <t>Rahul Sharma</t>
        </is>
      </c>
      <c r="H20" s="86" t="n">
        <v>4</v>
      </c>
      <c r="I20" s="88" t="n">
        <v>25000</v>
      </c>
      <c r="J20" s="88" t="n">
        <v>100000</v>
      </c>
      <c r="K20" s="88" t="n">
        <v>62731</v>
      </c>
      <c r="L20" s="88" t="n">
        <v>37269</v>
      </c>
      <c r="M20" s="89" t="n">
        <v>37.27</v>
      </c>
    </row>
    <row r="21" ht="15" customHeight="1" s="65">
      <c r="A21" s="90" t="n">
        <v>1020</v>
      </c>
      <c r="B21" s="90" t="inlineStr">
        <is>
          <t>Feb</t>
        </is>
      </c>
      <c r="C21" s="90" t="inlineStr">
        <is>
          <t>Q1</t>
        </is>
      </c>
      <c r="D21" s="91" t="inlineStr">
        <is>
          <t>Mobile</t>
        </is>
      </c>
      <c r="E21" s="91" t="inlineStr">
        <is>
          <t>Electronics</t>
        </is>
      </c>
      <c r="F21" s="91" t="inlineStr">
        <is>
          <t>West</t>
        </is>
      </c>
      <c r="G21" s="91" t="inlineStr">
        <is>
          <t>Rohit Verma</t>
        </is>
      </c>
      <c r="H21" s="90" t="n">
        <v>5</v>
      </c>
      <c r="I21" s="92" t="n">
        <v>18000</v>
      </c>
      <c r="J21" s="92" t="n">
        <v>90000</v>
      </c>
      <c r="K21" s="92" t="n">
        <v>55181</v>
      </c>
      <c r="L21" s="92" t="n">
        <v>34819</v>
      </c>
      <c r="M21" s="93" t="n">
        <v>38.69</v>
      </c>
    </row>
    <row r="22" ht="15" customHeight="1" s="65">
      <c r="A22" s="86" t="n">
        <v>1021</v>
      </c>
      <c r="B22" s="86" t="inlineStr">
        <is>
          <t>Feb</t>
        </is>
      </c>
      <c r="C22" s="86" t="inlineStr">
        <is>
          <t>Q1</t>
        </is>
      </c>
      <c r="D22" s="87" t="inlineStr">
        <is>
          <t>Mobile</t>
        </is>
      </c>
      <c r="E22" s="87" t="inlineStr">
        <is>
          <t>Electronics</t>
        </is>
      </c>
      <c r="F22" s="87" t="inlineStr">
        <is>
          <t>North</t>
        </is>
      </c>
      <c r="G22" s="87" t="inlineStr">
        <is>
          <t>Rahul Sharma</t>
        </is>
      </c>
      <c r="H22" s="86" t="n">
        <v>4</v>
      </c>
      <c r="I22" s="88" t="n">
        <v>18000</v>
      </c>
      <c r="J22" s="88" t="n">
        <v>72000</v>
      </c>
      <c r="K22" s="88" t="n">
        <v>45917</v>
      </c>
      <c r="L22" s="88" t="n">
        <v>26083</v>
      </c>
      <c r="M22" s="89" t="n">
        <v>36.23</v>
      </c>
    </row>
    <row r="23" ht="15" customHeight="1" s="65">
      <c r="A23" s="90" t="n">
        <v>1022</v>
      </c>
      <c r="B23" s="90" t="inlineStr">
        <is>
          <t>Feb</t>
        </is>
      </c>
      <c r="C23" s="90" t="inlineStr">
        <is>
          <t>Q1</t>
        </is>
      </c>
      <c r="D23" s="91" t="inlineStr">
        <is>
          <t>Mobile</t>
        </is>
      </c>
      <c r="E23" s="91" t="inlineStr">
        <is>
          <t>Electronics</t>
        </is>
      </c>
      <c r="F23" s="91" t="inlineStr">
        <is>
          <t>South</t>
        </is>
      </c>
      <c r="G23" s="91" t="inlineStr">
        <is>
          <t>Vikas Rao</t>
        </is>
      </c>
      <c r="H23" s="90" t="n">
        <v>8</v>
      </c>
      <c r="I23" s="92" t="n">
        <v>18000</v>
      </c>
      <c r="J23" s="92" t="n">
        <v>144000</v>
      </c>
      <c r="K23" s="92" t="n">
        <v>86124</v>
      </c>
      <c r="L23" s="92" t="n">
        <v>57876</v>
      </c>
      <c r="M23" s="93" t="n">
        <v>40.19</v>
      </c>
    </row>
    <row r="24" ht="15" customHeight="1" s="65">
      <c r="A24" s="86" t="n">
        <v>1023</v>
      </c>
      <c r="B24" s="86" t="inlineStr">
        <is>
          <t>Feb</t>
        </is>
      </c>
      <c r="C24" s="86" t="inlineStr">
        <is>
          <t>Q1</t>
        </is>
      </c>
      <c r="D24" s="87" t="inlineStr">
        <is>
          <t>Earphones</t>
        </is>
      </c>
      <c r="E24" s="87" t="inlineStr">
        <is>
          <t>Electronics</t>
        </is>
      </c>
      <c r="F24" s="87" t="inlineStr">
        <is>
          <t>North</t>
        </is>
      </c>
      <c r="G24" s="87" t="inlineStr">
        <is>
          <t>Neha Gupta</t>
        </is>
      </c>
      <c r="H24" s="86" t="n">
        <v>3</v>
      </c>
      <c r="I24" s="88" t="n">
        <v>3500</v>
      </c>
      <c r="J24" s="88" t="n">
        <v>10500</v>
      </c>
      <c r="K24" s="88" t="n">
        <v>5997</v>
      </c>
      <c r="L24" s="88" t="n">
        <v>4503</v>
      </c>
      <c r="M24" s="89" t="n">
        <v>42.89</v>
      </c>
    </row>
    <row r="25" ht="15" customHeight="1" s="65">
      <c r="A25" s="90" t="n">
        <v>1024</v>
      </c>
      <c r="B25" s="90" t="inlineStr">
        <is>
          <t>Feb</t>
        </is>
      </c>
      <c r="C25" s="90" t="inlineStr">
        <is>
          <t>Q1</t>
        </is>
      </c>
      <c r="D25" s="91" t="inlineStr">
        <is>
          <t>Earphones</t>
        </is>
      </c>
      <c r="E25" s="91" t="inlineStr">
        <is>
          <t>Electronics</t>
        </is>
      </c>
      <c r="F25" s="91" t="inlineStr">
        <is>
          <t>East</t>
        </is>
      </c>
      <c r="G25" s="91" t="inlineStr">
        <is>
          <t>Rohit Verma</t>
        </is>
      </c>
      <c r="H25" s="90" t="n">
        <v>3</v>
      </c>
      <c r="I25" s="92" t="n">
        <v>3500</v>
      </c>
      <c r="J25" s="92" t="n">
        <v>10500</v>
      </c>
      <c r="K25" s="92" t="n">
        <v>5723</v>
      </c>
      <c r="L25" s="92" t="n">
        <v>4777</v>
      </c>
      <c r="M25" s="93" t="n">
        <v>45.5</v>
      </c>
    </row>
    <row r="26" ht="15" customHeight="1" s="65">
      <c r="A26" s="86" t="n">
        <v>1025</v>
      </c>
      <c r="B26" s="86" t="inlineStr">
        <is>
          <t>Feb</t>
        </is>
      </c>
      <c r="C26" s="86" t="inlineStr">
        <is>
          <t>Q1</t>
        </is>
      </c>
      <c r="D26" s="87" t="inlineStr">
        <is>
          <t>Smart Watch</t>
        </is>
      </c>
      <c r="E26" s="87" t="inlineStr">
        <is>
          <t>Electronics</t>
        </is>
      </c>
      <c r="F26" s="87" t="inlineStr">
        <is>
          <t>West</t>
        </is>
      </c>
      <c r="G26" s="87" t="inlineStr">
        <is>
          <t>Rohit Verma</t>
        </is>
      </c>
      <c r="H26" s="86" t="n">
        <v>3</v>
      </c>
      <c r="I26" s="88" t="n">
        <v>12000</v>
      </c>
      <c r="J26" s="88" t="n">
        <v>36000</v>
      </c>
      <c r="K26" s="88" t="n">
        <v>20361</v>
      </c>
      <c r="L26" s="88" t="n">
        <v>15639</v>
      </c>
      <c r="M26" s="89" t="n">
        <v>43.44</v>
      </c>
    </row>
    <row r="27" ht="15" customHeight="1" s="65">
      <c r="A27" s="90" t="n">
        <v>1026</v>
      </c>
      <c r="B27" s="90" t="inlineStr">
        <is>
          <t>Feb</t>
        </is>
      </c>
      <c r="C27" s="90" t="inlineStr">
        <is>
          <t>Q1</t>
        </is>
      </c>
      <c r="D27" s="91" t="inlineStr">
        <is>
          <t>Mobile</t>
        </is>
      </c>
      <c r="E27" s="91" t="inlineStr">
        <is>
          <t>Electronics</t>
        </is>
      </c>
      <c r="F27" s="91" t="inlineStr">
        <is>
          <t>East</t>
        </is>
      </c>
      <c r="G27" s="91" t="inlineStr">
        <is>
          <t>Neha Gupta</t>
        </is>
      </c>
      <c r="H27" s="90" t="n">
        <v>5</v>
      </c>
      <c r="I27" s="92" t="n">
        <v>18000</v>
      </c>
      <c r="J27" s="92" t="n">
        <v>90000</v>
      </c>
      <c r="K27" s="92" t="n">
        <v>56039</v>
      </c>
      <c r="L27" s="92" t="n">
        <v>33961</v>
      </c>
      <c r="M27" s="93" t="n">
        <v>37.73</v>
      </c>
    </row>
    <row r="28" ht="15" customHeight="1" s="65">
      <c r="A28" s="86" t="n">
        <v>1027</v>
      </c>
      <c r="B28" s="86" t="inlineStr">
        <is>
          <t>Feb</t>
        </is>
      </c>
      <c r="C28" s="86" t="inlineStr">
        <is>
          <t>Q1</t>
        </is>
      </c>
      <c r="D28" s="87" t="inlineStr">
        <is>
          <t>Smart Watch</t>
        </is>
      </c>
      <c r="E28" s="87" t="inlineStr">
        <is>
          <t>Electronics</t>
        </is>
      </c>
      <c r="F28" s="87" t="inlineStr">
        <is>
          <t>North</t>
        </is>
      </c>
      <c r="G28" s="87" t="inlineStr">
        <is>
          <t>Vikas Rao</t>
        </is>
      </c>
      <c r="H28" s="86" t="n">
        <v>5</v>
      </c>
      <c r="I28" s="88" t="n">
        <v>12000</v>
      </c>
      <c r="J28" s="88" t="n">
        <v>60000</v>
      </c>
      <c r="K28" s="88" t="n">
        <v>38247</v>
      </c>
      <c r="L28" s="88" t="n">
        <v>21753</v>
      </c>
      <c r="M28" s="89" t="n">
        <v>36.25</v>
      </c>
    </row>
    <row r="29" ht="15" customHeight="1" s="65">
      <c r="A29" s="90" t="n">
        <v>1028</v>
      </c>
      <c r="B29" s="90" t="inlineStr">
        <is>
          <t>Feb</t>
        </is>
      </c>
      <c r="C29" s="90" t="inlineStr">
        <is>
          <t>Q1</t>
        </is>
      </c>
      <c r="D29" s="91" t="inlineStr">
        <is>
          <t>Earphones</t>
        </is>
      </c>
      <c r="E29" s="91" t="inlineStr">
        <is>
          <t>Electronics</t>
        </is>
      </c>
      <c r="F29" s="91" t="inlineStr">
        <is>
          <t>North</t>
        </is>
      </c>
      <c r="G29" s="91" t="inlineStr">
        <is>
          <t>Rohit Verma</t>
        </is>
      </c>
      <c r="H29" s="90" t="n">
        <v>9</v>
      </c>
      <c r="I29" s="92" t="n">
        <v>3500</v>
      </c>
      <c r="J29" s="92" t="n">
        <v>31500</v>
      </c>
      <c r="K29" s="92" t="n">
        <v>17774</v>
      </c>
      <c r="L29" s="92" t="n">
        <v>13726</v>
      </c>
      <c r="M29" s="93" t="n">
        <v>43.57</v>
      </c>
    </row>
    <row r="30" ht="15" customHeight="1" s="65">
      <c r="A30" s="86" t="n">
        <v>1029</v>
      </c>
      <c r="B30" s="86" t="inlineStr">
        <is>
          <t>Feb</t>
        </is>
      </c>
      <c r="C30" s="86" t="inlineStr">
        <is>
          <t>Q1</t>
        </is>
      </c>
      <c r="D30" s="87" t="inlineStr">
        <is>
          <t>Earphones</t>
        </is>
      </c>
      <c r="E30" s="87" t="inlineStr">
        <is>
          <t>Electronics</t>
        </is>
      </c>
      <c r="F30" s="87" t="inlineStr">
        <is>
          <t>East</t>
        </is>
      </c>
      <c r="G30" s="87" t="inlineStr">
        <is>
          <t>Kavita Joshi</t>
        </is>
      </c>
      <c r="H30" s="86" t="n">
        <v>2</v>
      </c>
      <c r="I30" s="88" t="n">
        <v>3500</v>
      </c>
      <c r="J30" s="88" t="n">
        <v>7000</v>
      </c>
      <c r="K30" s="88" t="n">
        <v>3783</v>
      </c>
      <c r="L30" s="88" t="n">
        <v>3217</v>
      </c>
      <c r="M30" s="89" t="n">
        <v>45.96</v>
      </c>
    </row>
    <row r="31" ht="15" customHeight="1" s="65">
      <c r="A31" s="90" t="n">
        <v>1030</v>
      </c>
      <c r="B31" s="90" t="inlineStr">
        <is>
          <t>Feb</t>
        </is>
      </c>
      <c r="C31" s="90" t="inlineStr">
        <is>
          <t>Q1</t>
        </is>
      </c>
      <c r="D31" s="91" t="inlineStr">
        <is>
          <t>Earphones</t>
        </is>
      </c>
      <c r="E31" s="91" t="inlineStr">
        <is>
          <t>Electronics</t>
        </is>
      </c>
      <c r="F31" s="91" t="inlineStr">
        <is>
          <t>South</t>
        </is>
      </c>
      <c r="G31" s="91" t="inlineStr">
        <is>
          <t>Neha Gupta</t>
        </is>
      </c>
      <c r="H31" s="90" t="n">
        <v>9</v>
      </c>
      <c r="I31" s="92" t="n">
        <v>3500</v>
      </c>
      <c r="J31" s="92" t="n">
        <v>31500</v>
      </c>
      <c r="K31" s="92" t="n">
        <v>16809</v>
      </c>
      <c r="L31" s="92" t="n">
        <v>14691</v>
      </c>
      <c r="M31" s="93" t="n">
        <v>46.64</v>
      </c>
    </row>
    <row r="32" ht="15" customHeight="1" s="65">
      <c r="A32" s="86" t="n">
        <v>1031</v>
      </c>
      <c r="B32" s="86" t="inlineStr">
        <is>
          <t>Feb</t>
        </is>
      </c>
      <c r="C32" s="86" t="inlineStr">
        <is>
          <t>Q1</t>
        </is>
      </c>
      <c r="D32" s="87" t="inlineStr">
        <is>
          <t>Earphones</t>
        </is>
      </c>
      <c r="E32" s="87" t="inlineStr">
        <is>
          <t>Electronics</t>
        </is>
      </c>
      <c r="F32" s="87" t="inlineStr">
        <is>
          <t>West</t>
        </is>
      </c>
      <c r="G32" s="87" t="inlineStr">
        <is>
          <t>Amit Kumar</t>
        </is>
      </c>
      <c r="H32" s="86" t="n">
        <v>8</v>
      </c>
      <c r="I32" s="88" t="n">
        <v>3500</v>
      </c>
      <c r="J32" s="88" t="n">
        <v>28000</v>
      </c>
      <c r="K32" s="88" t="n">
        <v>14865</v>
      </c>
      <c r="L32" s="88" t="n">
        <v>13135</v>
      </c>
      <c r="M32" s="89" t="n">
        <v>46.91</v>
      </c>
    </row>
    <row r="33" ht="15" customHeight="1" s="65">
      <c r="A33" s="90" t="n">
        <v>1032</v>
      </c>
      <c r="B33" s="90" t="inlineStr">
        <is>
          <t>Feb</t>
        </is>
      </c>
      <c r="C33" s="90" t="inlineStr">
        <is>
          <t>Q1</t>
        </is>
      </c>
      <c r="D33" s="91" t="inlineStr">
        <is>
          <t>Mobile</t>
        </is>
      </c>
      <c r="E33" s="91" t="inlineStr">
        <is>
          <t>Electronics</t>
        </is>
      </c>
      <c r="F33" s="91" t="inlineStr">
        <is>
          <t>West</t>
        </is>
      </c>
      <c r="G33" s="91" t="inlineStr">
        <is>
          <t>Sneha Patel</t>
        </is>
      </c>
      <c r="H33" s="90" t="n">
        <v>5</v>
      </c>
      <c r="I33" s="92" t="n">
        <v>18000</v>
      </c>
      <c r="J33" s="92" t="n">
        <v>90000</v>
      </c>
      <c r="K33" s="92" t="n">
        <v>58396</v>
      </c>
      <c r="L33" s="92" t="n">
        <v>31604</v>
      </c>
      <c r="M33" s="93" t="n">
        <v>35.12</v>
      </c>
    </row>
    <row r="34" ht="15" customHeight="1" s="65">
      <c r="A34" s="86" t="n">
        <v>1033</v>
      </c>
      <c r="B34" s="86" t="inlineStr">
        <is>
          <t>Feb</t>
        </is>
      </c>
      <c r="C34" s="86" t="inlineStr">
        <is>
          <t>Q1</t>
        </is>
      </c>
      <c r="D34" s="87" t="inlineStr">
        <is>
          <t>Mobile</t>
        </is>
      </c>
      <c r="E34" s="87" t="inlineStr">
        <is>
          <t>Electronics</t>
        </is>
      </c>
      <c r="F34" s="87" t="inlineStr">
        <is>
          <t>South</t>
        </is>
      </c>
      <c r="G34" s="87" t="inlineStr">
        <is>
          <t>Priya Singh</t>
        </is>
      </c>
      <c r="H34" s="86" t="n">
        <v>6</v>
      </c>
      <c r="I34" s="88" t="n">
        <v>18000</v>
      </c>
      <c r="J34" s="88" t="n">
        <v>108000</v>
      </c>
      <c r="K34" s="88" t="n">
        <v>67234</v>
      </c>
      <c r="L34" s="88" t="n">
        <v>40766</v>
      </c>
      <c r="M34" s="89" t="n">
        <v>37.75</v>
      </c>
    </row>
    <row r="35" ht="15" customHeight="1" s="65">
      <c r="A35" s="90" t="n">
        <v>1034</v>
      </c>
      <c r="B35" s="90" t="inlineStr">
        <is>
          <t>Mar</t>
        </is>
      </c>
      <c r="C35" s="90" t="inlineStr">
        <is>
          <t>Q1</t>
        </is>
      </c>
      <c r="D35" s="91" t="inlineStr">
        <is>
          <t>Laptop</t>
        </is>
      </c>
      <c r="E35" s="91" t="inlineStr">
        <is>
          <t>Electronics</t>
        </is>
      </c>
      <c r="F35" s="91" t="inlineStr">
        <is>
          <t>South</t>
        </is>
      </c>
      <c r="G35" s="91" t="inlineStr">
        <is>
          <t>Amit Kumar</t>
        </is>
      </c>
      <c r="H35" s="90" t="n">
        <v>8</v>
      </c>
      <c r="I35" s="92" t="n">
        <v>55000</v>
      </c>
      <c r="J35" s="92" t="n">
        <v>440000</v>
      </c>
      <c r="K35" s="92" t="n">
        <v>309227</v>
      </c>
      <c r="L35" s="92" t="n">
        <v>130773</v>
      </c>
      <c r="M35" s="93" t="n">
        <v>29.72</v>
      </c>
    </row>
    <row r="36" ht="15" customHeight="1" s="65">
      <c r="A36" s="86" t="n">
        <v>1035</v>
      </c>
      <c r="B36" s="86" t="inlineStr">
        <is>
          <t>Mar</t>
        </is>
      </c>
      <c r="C36" s="86" t="inlineStr">
        <is>
          <t>Q1</t>
        </is>
      </c>
      <c r="D36" s="87" t="inlineStr">
        <is>
          <t>Mobile</t>
        </is>
      </c>
      <c r="E36" s="87" t="inlineStr">
        <is>
          <t>Electronics</t>
        </is>
      </c>
      <c r="F36" s="87" t="inlineStr">
        <is>
          <t>North</t>
        </is>
      </c>
      <c r="G36" s="87" t="inlineStr">
        <is>
          <t>Rohit Verma</t>
        </is>
      </c>
      <c r="H36" s="86" t="n">
        <v>7</v>
      </c>
      <c r="I36" s="88" t="n">
        <v>18000</v>
      </c>
      <c r="J36" s="88" t="n">
        <v>126000</v>
      </c>
      <c r="K36" s="88" t="n">
        <v>78729</v>
      </c>
      <c r="L36" s="88" t="n">
        <v>47271</v>
      </c>
      <c r="M36" s="89" t="n">
        <v>37.52</v>
      </c>
    </row>
    <row r="37" ht="15" customHeight="1" s="65">
      <c r="A37" s="90" t="n">
        <v>1036</v>
      </c>
      <c r="B37" s="90" t="inlineStr">
        <is>
          <t>Mar</t>
        </is>
      </c>
      <c r="C37" s="90" t="inlineStr">
        <is>
          <t>Q1</t>
        </is>
      </c>
      <c r="D37" s="91" t="inlineStr">
        <is>
          <t>Tablet</t>
        </is>
      </c>
      <c r="E37" s="91" t="inlineStr">
        <is>
          <t>Electronics</t>
        </is>
      </c>
      <c r="F37" s="91" t="inlineStr">
        <is>
          <t>West</t>
        </is>
      </c>
      <c r="G37" s="91" t="inlineStr">
        <is>
          <t>Vikas Rao</t>
        </is>
      </c>
      <c r="H37" s="90" t="n">
        <v>3</v>
      </c>
      <c r="I37" s="92" t="n">
        <v>25000</v>
      </c>
      <c r="J37" s="92" t="n">
        <v>75000</v>
      </c>
      <c r="K37" s="92" t="n">
        <v>50185</v>
      </c>
      <c r="L37" s="92" t="n">
        <v>24815</v>
      </c>
      <c r="M37" s="93" t="n">
        <v>33.09</v>
      </c>
    </row>
    <row r="38" ht="15" customHeight="1" s="65">
      <c r="A38" s="86" t="n">
        <v>1037</v>
      </c>
      <c r="B38" s="86" t="inlineStr">
        <is>
          <t>Mar</t>
        </is>
      </c>
      <c r="C38" s="86" t="inlineStr">
        <is>
          <t>Q1</t>
        </is>
      </c>
      <c r="D38" s="87" t="inlineStr">
        <is>
          <t>Smart Watch</t>
        </is>
      </c>
      <c r="E38" s="87" t="inlineStr">
        <is>
          <t>Electronics</t>
        </is>
      </c>
      <c r="F38" s="87" t="inlineStr">
        <is>
          <t>West</t>
        </is>
      </c>
      <c r="G38" s="87" t="inlineStr">
        <is>
          <t>Priya Singh</t>
        </is>
      </c>
      <c r="H38" s="86" t="n">
        <v>9</v>
      </c>
      <c r="I38" s="88" t="n">
        <v>12000</v>
      </c>
      <c r="J38" s="88" t="n">
        <v>108000</v>
      </c>
      <c r="K38" s="88" t="n">
        <v>60756</v>
      </c>
      <c r="L38" s="88" t="n">
        <v>47244</v>
      </c>
      <c r="M38" s="89" t="n">
        <v>43.74</v>
      </c>
    </row>
    <row r="39" ht="15" customHeight="1" s="65">
      <c r="A39" s="90" t="n">
        <v>1038</v>
      </c>
      <c r="B39" s="90" t="inlineStr">
        <is>
          <t>Mar</t>
        </is>
      </c>
      <c r="C39" s="90" t="inlineStr">
        <is>
          <t>Q1</t>
        </is>
      </c>
      <c r="D39" s="91" t="inlineStr">
        <is>
          <t>Laptop</t>
        </is>
      </c>
      <c r="E39" s="91" t="inlineStr">
        <is>
          <t>Electronics</t>
        </is>
      </c>
      <c r="F39" s="91" t="inlineStr">
        <is>
          <t>South</t>
        </is>
      </c>
      <c r="G39" s="91" t="inlineStr">
        <is>
          <t>Vikas Rao</t>
        </is>
      </c>
      <c r="H39" s="90" t="n">
        <v>3</v>
      </c>
      <c r="I39" s="92" t="n">
        <v>55000</v>
      </c>
      <c r="J39" s="92" t="n">
        <v>165000</v>
      </c>
      <c r="K39" s="92" t="n">
        <v>115588</v>
      </c>
      <c r="L39" s="92" t="n">
        <v>49412</v>
      </c>
      <c r="M39" s="93" t="n">
        <v>29.95</v>
      </c>
    </row>
    <row r="40" ht="15" customHeight="1" s="65">
      <c r="A40" s="86" t="n">
        <v>1039</v>
      </c>
      <c r="B40" s="86" t="inlineStr">
        <is>
          <t>Mar</t>
        </is>
      </c>
      <c r="C40" s="86" t="inlineStr">
        <is>
          <t>Q1</t>
        </is>
      </c>
      <c r="D40" s="87" t="inlineStr">
        <is>
          <t>Smart Watch</t>
        </is>
      </c>
      <c r="E40" s="87" t="inlineStr">
        <is>
          <t>Electronics</t>
        </is>
      </c>
      <c r="F40" s="87" t="inlineStr">
        <is>
          <t>West</t>
        </is>
      </c>
      <c r="G40" s="87" t="inlineStr">
        <is>
          <t>Rohit Verma</t>
        </is>
      </c>
      <c r="H40" s="86" t="n">
        <v>2</v>
      </c>
      <c r="I40" s="88" t="n">
        <v>12000</v>
      </c>
      <c r="J40" s="88" t="n">
        <v>24000</v>
      </c>
      <c r="K40" s="88" t="n">
        <v>13948</v>
      </c>
      <c r="L40" s="88" t="n">
        <v>10052</v>
      </c>
      <c r="M40" s="89" t="n">
        <v>41.88</v>
      </c>
    </row>
    <row r="41" ht="15" customHeight="1" s="65">
      <c r="A41" s="90" t="n">
        <v>1040</v>
      </c>
      <c r="B41" s="90" t="inlineStr">
        <is>
          <t>Mar</t>
        </is>
      </c>
      <c r="C41" s="90" t="inlineStr">
        <is>
          <t>Q1</t>
        </is>
      </c>
      <c r="D41" s="91" t="inlineStr">
        <is>
          <t>Mobile</t>
        </is>
      </c>
      <c r="E41" s="91" t="inlineStr">
        <is>
          <t>Electronics</t>
        </is>
      </c>
      <c r="F41" s="91" t="inlineStr">
        <is>
          <t>West</t>
        </is>
      </c>
      <c r="G41" s="91" t="inlineStr">
        <is>
          <t>Kavita Joshi</t>
        </is>
      </c>
      <c r="H41" s="90" t="n">
        <v>11</v>
      </c>
      <c r="I41" s="92" t="n">
        <v>18000</v>
      </c>
      <c r="J41" s="92" t="n">
        <v>198000</v>
      </c>
      <c r="K41" s="92" t="n">
        <v>125957</v>
      </c>
      <c r="L41" s="92" t="n">
        <v>72043</v>
      </c>
      <c r="M41" s="93" t="n">
        <v>36.39</v>
      </c>
    </row>
    <row r="42" ht="15" customHeight="1" s="65">
      <c r="A42" s="86" t="n">
        <v>1041</v>
      </c>
      <c r="B42" s="86" t="inlineStr">
        <is>
          <t>Mar</t>
        </is>
      </c>
      <c r="C42" s="86" t="inlineStr">
        <is>
          <t>Q1</t>
        </is>
      </c>
      <c r="D42" s="87" t="inlineStr">
        <is>
          <t>Mobile</t>
        </is>
      </c>
      <c r="E42" s="87" t="inlineStr">
        <is>
          <t>Electronics</t>
        </is>
      </c>
      <c r="F42" s="87" t="inlineStr">
        <is>
          <t>West</t>
        </is>
      </c>
      <c r="G42" s="87" t="inlineStr">
        <is>
          <t>Amit Kumar</t>
        </is>
      </c>
      <c r="H42" s="86" t="n">
        <v>5</v>
      </c>
      <c r="I42" s="88" t="n">
        <v>18000</v>
      </c>
      <c r="J42" s="88" t="n">
        <v>90000</v>
      </c>
      <c r="K42" s="88" t="n">
        <v>54001</v>
      </c>
      <c r="L42" s="88" t="n">
        <v>35999</v>
      </c>
      <c r="M42" s="89" t="n">
        <v>40</v>
      </c>
    </row>
    <row r="43" ht="15" customHeight="1" s="65">
      <c r="A43" s="90" t="n">
        <v>1042</v>
      </c>
      <c r="B43" s="90" t="inlineStr">
        <is>
          <t>Mar</t>
        </is>
      </c>
      <c r="C43" s="90" t="inlineStr">
        <is>
          <t>Q1</t>
        </is>
      </c>
      <c r="D43" s="91" t="inlineStr">
        <is>
          <t>Mobile</t>
        </is>
      </c>
      <c r="E43" s="91" t="inlineStr">
        <is>
          <t>Electronics</t>
        </is>
      </c>
      <c r="F43" s="91" t="inlineStr">
        <is>
          <t>East</t>
        </is>
      </c>
      <c r="G43" s="91" t="inlineStr">
        <is>
          <t>Rohit Verma</t>
        </is>
      </c>
      <c r="H43" s="90" t="n">
        <v>2</v>
      </c>
      <c r="I43" s="92" t="n">
        <v>18000</v>
      </c>
      <c r="J43" s="92" t="n">
        <v>36000</v>
      </c>
      <c r="K43" s="92" t="n">
        <v>23261</v>
      </c>
      <c r="L43" s="92" t="n">
        <v>12739</v>
      </c>
      <c r="M43" s="93" t="n">
        <v>35.39</v>
      </c>
    </row>
    <row r="44" ht="15" customHeight="1" s="65">
      <c r="A44" s="86" t="n">
        <v>1043</v>
      </c>
      <c r="B44" s="86" t="inlineStr">
        <is>
          <t>Mar</t>
        </is>
      </c>
      <c r="C44" s="86" t="inlineStr">
        <is>
          <t>Q1</t>
        </is>
      </c>
      <c r="D44" s="87" t="inlineStr">
        <is>
          <t>Smart Watch</t>
        </is>
      </c>
      <c r="E44" s="87" t="inlineStr">
        <is>
          <t>Electronics</t>
        </is>
      </c>
      <c r="F44" s="87" t="inlineStr">
        <is>
          <t>South</t>
        </is>
      </c>
      <c r="G44" s="87" t="inlineStr">
        <is>
          <t>Kavita Joshi</t>
        </is>
      </c>
      <c r="H44" s="86" t="n">
        <v>9</v>
      </c>
      <c r="I44" s="88" t="n">
        <v>12000</v>
      </c>
      <c r="J44" s="88" t="n">
        <v>108000</v>
      </c>
      <c r="K44" s="88" t="n">
        <v>61944</v>
      </c>
      <c r="L44" s="88" t="n">
        <v>46056</v>
      </c>
      <c r="M44" s="89" t="n">
        <v>42.64</v>
      </c>
    </row>
    <row r="45" ht="15" customHeight="1" s="65">
      <c r="A45" s="90" t="n">
        <v>1044</v>
      </c>
      <c r="B45" s="90" t="inlineStr">
        <is>
          <t>Mar</t>
        </is>
      </c>
      <c r="C45" s="90" t="inlineStr">
        <is>
          <t>Q1</t>
        </is>
      </c>
      <c r="D45" s="91" t="inlineStr">
        <is>
          <t>Laptop</t>
        </is>
      </c>
      <c r="E45" s="91" t="inlineStr">
        <is>
          <t>Electronics</t>
        </is>
      </c>
      <c r="F45" s="91" t="inlineStr">
        <is>
          <t>North</t>
        </is>
      </c>
      <c r="G45" s="91" t="inlineStr">
        <is>
          <t>Kavita Joshi</t>
        </is>
      </c>
      <c r="H45" s="90" t="n">
        <v>8</v>
      </c>
      <c r="I45" s="92" t="n">
        <v>55000</v>
      </c>
      <c r="J45" s="92" t="n">
        <v>440000</v>
      </c>
      <c r="K45" s="92" t="n">
        <v>282143</v>
      </c>
      <c r="L45" s="92" t="n">
        <v>157857</v>
      </c>
      <c r="M45" s="93" t="n">
        <v>35.88</v>
      </c>
    </row>
    <row r="46" ht="15" customHeight="1" s="65">
      <c r="A46" s="86" t="n">
        <v>1045</v>
      </c>
      <c r="B46" s="86" t="inlineStr">
        <is>
          <t>Mar</t>
        </is>
      </c>
      <c r="C46" s="86" t="inlineStr">
        <is>
          <t>Q1</t>
        </is>
      </c>
      <c r="D46" s="87" t="inlineStr">
        <is>
          <t>Mobile</t>
        </is>
      </c>
      <c r="E46" s="87" t="inlineStr">
        <is>
          <t>Electronics</t>
        </is>
      </c>
      <c r="F46" s="87" t="inlineStr">
        <is>
          <t>South</t>
        </is>
      </c>
      <c r="G46" s="87" t="inlineStr">
        <is>
          <t>Neha Gupta</t>
        </is>
      </c>
      <c r="H46" s="86" t="n">
        <v>9</v>
      </c>
      <c r="I46" s="88" t="n">
        <v>18000</v>
      </c>
      <c r="J46" s="88" t="n">
        <v>162000</v>
      </c>
      <c r="K46" s="88" t="n">
        <v>103469</v>
      </c>
      <c r="L46" s="88" t="n">
        <v>58531</v>
      </c>
      <c r="M46" s="89" t="n">
        <v>36.13</v>
      </c>
    </row>
    <row r="47" ht="15" customHeight="1" s="65">
      <c r="A47" s="90" t="n">
        <v>1046</v>
      </c>
      <c r="B47" s="90" t="inlineStr">
        <is>
          <t>Mar</t>
        </is>
      </c>
      <c r="C47" s="90" t="inlineStr">
        <is>
          <t>Q1</t>
        </is>
      </c>
      <c r="D47" s="91" t="inlineStr">
        <is>
          <t>Tablet</t>
        </is>
      </c>
      <c r="E47" s="91" t="inlineStr">
        <is>
          <t>Electronics</t>
        </is>
      </c>
      <c r="F47" s="91" t="inlineStr">
        <is>
          <t>East</t>
        </is>
      </c>
      <c r="G47" s="91" t="inlineStr">
        <is>
          <t>Rahul Sharma</t>
        </is>
      </c>
      <c r="H47" s="90" t="n">
        <v>7</v>
      </c>
      <c r="I47" s="92" t="n">
        <v>25000</v>
      </c>
      <c r="J47" s="92" t="n">
        <v>175000</v>
      </c>
      <c r="K47" s="92" t="n">
        <v>111217</v>
      </c>
      <c r="L47" s="92" t="n">
        <v>63783</v>
      </c>
      <c r="M47" s="93" t="n">
        <v>36.45</v>
      </c>
    </row>
    <row r="48" ht="15" customHeight="1" s="65">
      <c r="A48" s="86" t="n">
        <v>1047</v>
      </c>
      <c r="B48" s="86" t="inlineStr">
        <is>
          <t>Mar</t>
        </is>
      </c>
      <c r="C48" s="86" t="inlineStr">
        <is>
          <t>Q1</t>
        </is>
      </c>
      <c r="D48" s="87" t="inlineStr">
        <is>
          <t>Mobile</t>
        </is>
      </c>
      <c r="E48" s="87" t="inlineStr">
        <is>
          <t>Electronics</t>
        </is>
      </c>
      <c r="F48" s="87" t="inlineStr">
        <is>
          <t>North</t>
        </is>
      </c>
      <c r="G48" s="87" t="inlineStr">
        <is>
          <t>Rahul Sharma</t>
        </is>
      </c>
      <c r="H48" s="86" t="n">
        <v>6</v>
      </c>
      <c r="I48" s="88" t="n">
        <v>18000</v>
      </c>
      <c r="J48" s="88" t="n">
        <v>108000</v>
      </c>
      <c r="K48" s="88" t="n">
        <v>62952</v>
      </c>
      <c r="L48" s="88" t="n">
        <v>45048</v>
      </c>
      <c r="M48" s="89" t="n">
        <v>41.71</v>
      </c>
    </row>
    <row r="49" ht="15" customHeight="1" s="65">
      <c r="A49" s="90" t="n">
        <v>1048</v>
      </c>
      <c r="B49" s="90" t="inlineStr">
        <is>
          <t>Mar</t>
        </is>
      </c>
      <c r="C49" s="90" t="inlineStr">
        <is>
          <t>Q1</t>
        </is>
      </c>
      <c r="D49" s="91" t="inlineStr">
        <is>
          <t>Mobile</t>
        </is>
      </c>
      <c r="E49" s="91" t="inlineStr">
        <is>
          <t>Electronics</t>
        </is>
      </c>
      <c r="F49" s="91" t="inlineStr">
        <is>
          <t>North</t>
        </is>
      </c>
      <c r="G49" s="91" t="inlineStr">
        <is>
          <t>Vikas Rao</t>
        </is>
      </c>
      <c r="H49" s="90" t="n">
        <v>2</v>
      </c>
      <c r="I49" s="92" t="n">
        <v>18000</v>
      </c>
      <c r="J49" s="92" t="n">
        <v>36000</v>
      </c>
      <c r="K49" s="92" t="n">
        <v>23293</v>
      </c>
      <c r="L49" s="92" t="n">
        <v>12707</v>
      </c>
      <c r="M49" s="93" t="n">
        <v>35.3</v>
      </c>
    </row>
    <row r="50" ht="15" customHeight="1" s="65">
      <c r="A50" s="86" t="n">
        <v>1049</v>
      </c>
      <c r="B50" s="86" t="inlineStr">
        <is>
          <t>Mar</t>
        </is>
      </c>
      <c r="C50" s="86" t="inlineStr">
        <is>
          <t>Q1</t>
        </is>
      </c>
      <c r="D50" s="87" t="inlineStr">
        <is>
          <t>Laptop</t>
        </is>
      </c>
      <c r="E50" s="87" t="inlineStr">
        <is>
          <t>Electronics</t>
        </is>
      </c>
      <c r="F50" s="87" t="inlineStr">
        <is>
          <t>West</t>
        </is>
      </c>
      <c r="G50" s="87" t="inlineStr">
        <is>
          <t>Sneha Patel</t>
        </is>
      </c>
      <c r="H50" s="86" t="n">
        <v>3</v>
      </c>
      <c r="I50" s="88" t="n">
        <v>55000</v>
      </c>
      <c r="J50" s="88" t="n">
        <v>165000</v>
      </c>
      <c r="K50" s="88" t="n">
        <v>107147</v>
      </c>
      <c r="L50" s="88" t="n">
        <v>57853</v>
      </c>
      <c r="M50" s="89" t="n">
        <v>35.06</v>
      </c>
    </row>
    <row r="51" ht="15" customHeight="1" s="65">
      <c r="A51" s="90" t="n">
        <v>1050</v>
      </c>
      <c r="B51" s="90" t="inlineStr">
        <is>
          <t>Mar</t>
        </is>
      </c>
      <c r="C51" s="90" t="inlineStr">
        <is>
          <t>Q1</t>
        </is>
      </c>
      <c r="D51" s="91" t="inlineStr">
        <is>
          <t>Mobile</t>
        </is>
      </c>
      <c r="E51" s="91" t="inlineStr">
        <is>
          <t>Electronics</t>
        </is>
      </c>
      <c r="F51" s="91" t="inlineStr">
        <is>
          <t>North</t>
        </is>
      </c>
      <c r="G51" s="91" t="inlineStr">
        <is>
          <t>Neha Gupta</t>
        </is>
      </c>
      <c r="H51" s="90" t="n">
        <v>1</v>
      </c>
      <c r="I51" s="92" t="n">
        <v>18000</v>
      </c>
      <c r="J51" s="92" t="n">
        <v>18000</v>
      </c>
      <c r="K51" s="92" t="n">
        <v>11246</v>
      </c>
      <c r="L51" s="92" t="n">
        <v>6754</v>
      </c>
      <c r="M51" s="93" t="n">
        <v>37.52</v>
      </c>
    </row>
    <row r="52" ht="15" customHeight="1" s="65">
      <c r="A52" s="86" t="n">
        <v>1051</v>
      </c>
      <c r="B52" s="86" t="inlineStr">
        <is>
          <t>Mar</t>
        </is>
      </c>
      <c r="C52" s="86" t="inlineStr">
        <is>
          <t>Q1</t>
        </is>
      </c>
      <c r="D52" s="87" t="inlineStr">
        <is>
          <t>Mobile</t>
        </is>
      </c>
      <c r="E52" s="87" t="inlineStr">
        <is>
          <t>Electronics</t>
        </is>
      </c>
      <c r="F52" s="87" t="inlineStr">
        <is>
          <t>East</t>
        </is>
      </c>
      <c r="G52" s="87" t="inlineStr">
        <is>
          <t>Neha Gupta</t>
        </is>
      </c>
      <c r="H52" s="86" t="n">
        <v>8</v>
      </c>
      <c r="I52" s="88" t="n">
        <v>18000</v>
      </c>
      <c r="J52" s="88" t="n">
        <v>144000</v>
      </c>
      <c r="K52" s="88" t="n">
        <v>94579</v>
      </c>
      <c r="L52" s="88" t="n">
        <v>49421</v>
      </c>
      <c r="M52" s="89" t="n">
        <v>34.32</v>
      </c>
    </row>
    <row r="53" ht="15" customHeight="1" s="65">
      <c r="A53" s="90" t="n">
        <v>1052</v>
      </c>
      <c r="B53" s="90" t="inlineStr">
        <is>
          <t>Mar</t>
        </is>
      </c>
      <c r="C53" s="90" t="inlineStr">
        <is>
          <t>Q1</t>
        </is>
      </c>
      <c r="D53" s="91" t="inlineStr">
        <is>
          <t>Tablet</t>
        </is>
      </c>
      <c r="E53" s="91" t="inlineStr">
        <is>
          <t>Electronics</t>
        </is>
      </c>
      <c r="F53" s="91" t="inlineStr">
        <is>
          <t>East</t>
        </is>
      </c>
      <c r="G53" s="91" t="inlineStr">
        <is>
          <t>Priya Singh</t>
        </is>
      </c>
      <c r="H53" s="90" t="n">
        <v>9</v>
      </c>
      <c r="I53" s="92" t="n">
        <v>25000</v>
      </c>
      <c r="J53" s="92" t="n">
        <v>225000</v>
      </c>
      <c r="K53" s="92" t="n">
        <v>139513</v>
      </c>
      <c r="L53" s="92" t="n">
        <v>85487</v>
      </c>
      <c r="M53" s="93" t="n">
        <v>37.99</v>
      </c>
    </row>
    <row r="54" ht="15" customHeight="1" s="65">
      <c r="A54" s="86" t="n">
        <v>1053</v>
      </c>
      <c r="B54" s="86" t="inlineStr">
        <is>
          <t>Apr</t>
        </is>
      </c>
      <c r="C54" s="86" t="inlineStr">
        <is>
          <t>Q2</t>
        </is>
      </c>
      <c r="D54" s="87" t="inlineStr">
        <is>
          <t>Laptop</t>
        </is>
      </c>
      <c r="E54" s="87" t="inlineStr">
        <is>
          <t>Electronics</t>
        </is>
      </c>
      <c r="F54" s="87" t="inlineStr">
        <is>
          <t>East</t>
        </is>
      </c>
      <c r="G54" s="87" t="inlineStr">
        <is>
          <t>Rahul Sharma</t>
        </is>
      </c>
      <c r="H54" s="86" t="n">
        <v>6</v>
      </c>
      <c r="I54" s="88" t="n">
        <v>55000</v>
      </c>
      <c r="J54" s="88" t="n">
        <v>330000</v>
      </c>
      <c r="K54" s="88" t="n">
        <v>228271</v>
      </c>
      <c r="L54" s="88" t="n">
        <v>101729</v>
      </c>
      <c r="M54" s="89" t="n">
        <v>30.83</v>
      </c>
    </row>
    <row r="55" ht="15" customHeight="1" s="65">
      <c r="A55" s="90" t="n">
        <v>1054</v>
      </c>
      <c r="B55" s="90" t="inlineStr">
        <is>
          <t>Apr</t>
        </is>
      </c>
      <c r="C55" s="90" t="inlineStr">
        <is>
          <t>Q2</t>
        </is>
      </c>
      <c r="D55" s="91" t="inlineStr">
        <is>
          <t>Mobile</t>
        </is>
      </c>
      <c r="E55" s="91" t="inlineStr">
        <is>
          <t>Electronics</t>
        </is>
      </c>
      <c r="F55" s="91" t="inlineStr">
        <is>
          <t>West</t>
        </is>
      </c>
      <c r="G55" s="91" t="inlineStr">
        <is>
          <t>Sneha Patel</t>
        </is>
      </c>
      <c r="H55" s="90" t="n">
        <v>8</v>
      </c>
      <c r="I55" s="92" t="n">
        <v>18000</v>
      </c>
      <c r="J55" s="92" t="n">
        <v>144000</v>
      </c>
      <c r="K55" s="92" t="n">
        <v>90527</v>
      </c>
      <c r="L55" s="92" t="n">
        <v>53473</v>
      </c>
      <c r="M55" s="93" t="n">
        <v>37.13</v>
      </c>
    </row>
    <row r="56" ht="15" customHeight="1" s="65">
      <c r="A56" s="86" t="n">
        <v>1055</v>
      </c>
      <c r="B56" s="86" t="inlineStr">
        <is>
          <t>Apr</t>
        </is>
      </c>
      <c r="C56" s="86" t="inlineStr">
        <is>
          <t>Q2</t>
        </is>
      </c>
      <c r="D56" s="87" t="inlineStr">
        <is>
          <t>Smart Watch</t>
        </is>
      </c>
      <c r="E56" s="87" t="inlineStr">
        <is>
          <t>Electronics</t>
        </is>
      </c>
      <c r="F56" s="87" t="inlineStr">
        <is>
          <t>North</t>
        </is>
      </c>
      <c r="G56" s="87" t="inlineStr">
        <is>
          <t>Rahul Sharma</t>
        </is>
      </c>
      <c r="H56" s="86" t="n">
        <v>5</v>
      </c>
      <c r="I56" s="88" t="n">
        <v>12000</v>
      </c>
      <c r="J56" s="88" t="n">
        <v>60000</v>
      </c>
      <c r="K56" s="88" t="n">
        <v>37485</v>
      </c>
      <c r="L56" s="88" t="n">
        <v>22515</v>
      </c>
      <c r="M56" s="89" t="n">
        <v>37.52</v>
      </c>
    </row>
    <row r="57" ht="15" customHeight="1" s="65">
      <c r="A57" s="90" t="n">
        <v>1056</v>
      </c>
      <c r="B57" s="90" t="inlineStr">
        <is>
          <t>Apr</t>
        </is>
      </c>
      <c r="C57" s="90" t="inlineStr">
        <is>
          <t>Q2</t>
        </is>
      </c>
      <c r="D57" s="91" t="inlineStr">
        <is>
          <t>Mobile</t>
        </is>
      </c>
      <c r="E57" s="91" t="inlineStr">
        <is>
          <t>Electronics</t>
        </is>
      </c>
      <c r="F57" s="91" t="inlineStr">
        <is>
          <t>South</t>
        </is>
      </c>
      <c r="G57" s="91" t="inlineStr">
        <is>
          <t>Priya Singh</t>
        </is>
      </c>
      <c r="H57" s="90" t="n">
        <v>2</v>
      </c>
      <c r="I57" s="92" t="n">
        <v>18000</v>
      </c>
      <c r="J57" s="92" t="n">
        <v>36000</v>
      </c>
      <c r="K57" s="92" t="n">
        <v>22310</v>
      </c>
      <c r="L57" s="92" t="n">
        <v>13690</v>
      </c>
      <c r="M57" s="93" t="n">
        <v>38.03</v>
      </c>
    </row>
    <row r="58" ht="15" customHeight="1" s="65">
      <c r="A58" s="86" t="n">
        <v>1057</v>
      </c>
      <c r="B58" s="86" t="inlineStr">
        <is>
          <t>Apr</t>
        </is>
      </c>
      <c r="C58" s="86" t="inlineStr">
        <is>
          <t>Q2</t>
        </is>
      </c>
      <c r="D58" s="87" t="inlineStr">
        <is>
          <t>Smart Watch</t>
        </is>
      </c>
      <c r="E58" s="87" t="inlineStr">
        <is>
          <t>Electronics</t>
        </is>
      </c>
      <c r="F58" s="87" t="inlineStr">
        <is>
          <t>East</t>
        </is>
      </c>
      <c r="G58" s="87" t="inlineStr">
        <is>
          <t>Rahul Sharma</t>
        </is>
      </c>
      <c r="H58" s="86" t="n">
        <v>2</v>
      </c>
      <c r="I58" s="88" t="n">
        <v>12000</v>
      </c>
      <c r="J58" s="88" t="n">
        <v>24000</v>
      </c>
      <c r="K58" s="88" t="n">
        <v>14164</v>
      </c>
      <c r="L58" s="88" t="n">
        <v>9836</v>
      </c>
      <c r="M58" s="89" t="n">
        <v>40.98</v>
      </c>
    </row>
    <row r="59" ht="15" customHeight="1" s="65">
      <c r="A59" s="90" t="n">
        <v>1058</v>
      </c>
      <c r="B59" s="90" t="inlineStr">
        <is>
          <t>Apr</t>
        </is>
      </c>
      <c r="C59" s="90" t="inlineStr">
        <is>
          <t>Q2</t>
        </is>
      </c>
      <c r="D59" s="91" t="inlineStr">
        <is>
          <t>Earphones</t>
        </is>
      </c>
      <c r="E59" s="91" t="inlineStr">
        <is>
          <t>Electronics</t>
        </is>
      </c>
      <c r="F59" s="91" t="inlineStr">
        <is>
          <t>North</t>
        </is>
      </c>
      <c r="G59" s="91" t="inlineStr">
        <is>
          <t>Sneha Patel</t>
        </is>
      </c>
      <c r="H59" s="90" t="n">
        <v>9</v>
      </c>
      <c r="I59" s="92" t="n">
        <v>3500</v>
      </c>
      <c r="J59" s="92" t="n">
        <v>31500</v>
      </c>
      <c r="K59" s="92" t="n">
        <v>17183</v>
      </c>
      <c r="L59" s="92" t="n">
        <v>14317</v>
      </c>
      <c r="M59" s="93" t="n">
        <v>45.45</v>
      </c>
    </row>
    <row r="60" ht="15" customHeight="1" s="65">
      <c r="A60" s="86" t="n">
        <v>1059</v>
      </c>
      <c r="B60" s="86" t="inlineStr">
        <is>
          <t>Apr</t>
        </is>
      </c>
      <c r="C60" s="86" t="inlineStr">
        <is>
          <t>Q2</t>
        </is>
      </c>
      <c r="D60" s="87" t="inlineStr">
        <is>
          <t>Earphones</t>
        </is>
      </c>
      <c r="E60" s="87" t="inlineStr">
        <is>
          <t>Electronics</t>
        </is>
      </c>
      <c r="F60" s="87" t="inlineStr">
        <is>
          <t>West</t>
        </is>
      </c>
      <c r="G60" s="87" t="inlineStr">
        <is>
          <t>Priya Singh</t>
        </is>
      </c>
      <c r="H60" s="86" t="n">
        <v>2</v>
      </c>
      <c r="I60" s="88" t="n">
        <v>3500</v>
      </c>
      <c r="J60" s="88" t="n">
        <v>7000</v>
      </c>
      <c r="K60" s="88" t="n">
        <v>4060</v>
      </c>
      <c r="L60" s="88" t="n">
        <v>2940</v>
      </c>
      <c r="M60" s="89" t="n">
        <v>42</v>
      </c>
    </row>
    <row r="61" ht="15" customHeight="1" s="65">
      <c r="A61" s="90" t="n">
        <v>1060</v>
      </c>
      <c r="B61" s="90" t="inlineStr">
        <is>
          <t>Apr</t>
        </is>
      </c>
      <c r="C61" s="90" t="inlineStr">
        <is>
          <t>Q2</t>
        </is>
      </c>
      <c r="D61" s="91" t="inlineStr">
        <is>
          <t>Earphones</t>
        </is>
      </c>
      <c r="E61" s="91" t="inlineStr">
        <is>
          <t>Electronics</t>
        </is>
      </c>
      <c r="F61" s="91" t="inlineStr">
        <is>
          <t>West</t>
        </is>
      </c>
      <c r="G61" s="91" t="inlineStr">
        <is>
          <t>Neha Gupta</t>
        </is>
      </c>
      <c r="H61" s="90" t="n">
        <v>4</v>
      </c>
      <c r="I61" s="92" t="n">
        <v>3500</v>
      </c>
      <c r="J61" s="92" t="n">
        <v>14000</v>
      </c>
      <c r="K61" s="92" t="n">
        <v>7491</v>
      </c>
      <c r="L61" s="92" t="n">
        <v>6509</v>
      </c>
      <c r="M61" s="93" t="n">
        <v>46.49</v>
      </c>
    </row>
    <row r="62" ht="15" customHeight="1" s="65">
      <c r="A62" s="86" t="n">
        <v>1061</v>
      </c>
      <c r="B62" s="86" t="inlineStr">
        <is>
          <t>Apr</t>
        </is>
      </c>
      <c r="C62" s="86" t="inlineStr">
        <is>
          <t>Q2</t>
        </is>
      </c>
      <c r="D62" s="87" t="inlineStr">
        <is>
          <t>Laptop</t>
        </is>
      </c>
      <c r="E62" s="87" t="inlineStr">
        <is>
          <t>Electronics</t>
        </is>
      </c>
      <c r="F62" s="87" t="inlineStr">
        <is>
          <t>South</t>
        </is>
      </c>
      <c r="G62" s="87" t="inlineStr">
        <is>
          <t>Vikas Rao</t>
        </is>
      </c>
      <c r="H62" s="86" t="n">
        <v>2</v>
      </c>
      <c r="I62" s="88" t="n">
        <v>55000</v>
      </c>
      <c r="J62" s="88" t="n">
        <v>110000</v>
      </c>
      <c r="K62" s="88" t="n">
        <v>71568</v>
      </c>
      <c r="L62" s="88" t="n">
        <v>38432</v>
      </c>
      <c r="M62" s="89" t="n">
        <v>34.94</v>
      </c>
    </row>
    <row r="63" ht="15" customHeight="1" s="65">
      <c r="A63" s="90" t="n">
        <v>1062</v>
      </c>
      <c r="B63" s="90" t="inlineStr">
        <is>
          <t>Apr</t>
        </is>
      </c>
      <c r="C63" s="90" t="inlineStr">
        <is>
          <t>Q2</t>
        </is>
      </c>
      <c r="D63" s="91" t="inlineStr">
        <is>
          <t>Laptop</t>
        </is>
      </c>
      <c r="E63" s="91" t="inlineStr">
        <is>
          <t>Electronics</t>
        </is>
      </c>
      <c r="F63" s="91" t="inlineStr">
        <is>
          <t>South</t>
        </is>
      </c>
      <c r="G63" s="91" t="inlineStr">
        <is>
          <t>Vikas Rao</t>
        </is>
      </c>
      <c r="H63" s="90" t="n">
        <v>4</v>
      </c>
      <c r="I63" s="92" t="n">
        <v>55000</v>
      </c>
      <c r="J63" s="92" t="n">
        <v>220000</v>
      </c>
      <c r="K63" s="92" t="n">
        <v>142975</v>
      </c>
      <c r="L63" s="92" t="n">
        <v>77025</v>
      </c>
      <c r="M63" s="93" t="n">
        <v>35.01</v>
      </c>
    </row>
    <row r="64" ht="15" customHeight="1" s="65">
      <c r="A64" s="86" t="n">
        <v>1063</v>
      </c>
      <c r="B64" s="86" t="inlineStr">
        <is>
          <t>Apr</t>
        </is>
      </c>
      <c r="C64" s="86" t="inlineStr">
        <is>
          <t>Q2</t>
        </is>
      </c>
      <c r="D64" s="87" t="inlineStr">
        <is>
          <t>Mobile</t>
        </is>
      </c>
      <c r="E64" s="87" t="inlineStr">
        <is>
          <t>Electronics</t>
        </is>
      </c>
      <c r="F64" s="87" t="inlineStr">
        <is>
          <t>North</t>
        </is>
      </c>
      <c r="G64" s="87" t="inlineStr">
        <is>
          <t>Neha Gupta</t>
        </is>
      </c>
      <c r="H64" s="86" t="n">
        <v>2</v>
      </c>
      <c r="I64" s="88" t="n">
        <v>18000</v>
      </c>
      <c r="J64" s="88" t="n">
        <v>36000</v>
      </c>
      <c r="K64" s="88" t="n">
        <v>22627</v>
      </c>
      <c r="L64" s="88" t="n">
        <v>13373</v>
      </c>
      <c r="M64" s="89" t="n">
        <v>37.15</v>
      </c>
    </row>
    <row r="65" ht="15" customHeight="1" s="65">
      <c r="A65" s="90" t="n">
        <v>1064</v>
      </c>
      <c r="B65" s="90" t="inlineStr">
        <is>
          <t>Apr</t>
        </is>
      </c>
      <c r="C65" s="90" t="inlineStr">
        <is>
          <t>Q2</t>
        </is>
      </c>
      <c r="D65" s="91" t="inlineStr">
        <is>
          <t>Mobile</t>
        </is>
      </c>
      <c r="E65" s="91" t="inlineStr">
        <is>
          <t>Electronics</t>
        </is>
      </c>
      <c r="F65" s="91" t="inlineStr">
        <is>
          <t>South</t>
        </is>
      </c>
      <c r="G65" s="91" t="inlineStr">
        <is>
          <t>Neha Gupta</t>
        </is>
      </c>
      <c r="H65" s="90" t="n">
        <v>1</v>
      </c>
      <c r="I65" s="92" t="n">
        <v>18000</v>
      </c>
      <c r="J65" s="92" t="n">
        <v>18000</v>
      </c>
      <c r="K65" s="92" t="n">
        <v>10982</v>
      </c>
      <c r="L65" s="92" t="n">
        <v>7018</v>
      </c>
      <c r="M65" s="93" t="n">
        <v>38.99</v>
      </c>
    </row>
    <row r="66" ht="15" customHeight="1" s="65">
      <c r="A66" s="86" t="n">
        <v>1065</v>
      </c>
      <c r="B66" s="86" t="inlineStr">
        <is>
          <t>Apr</t>
        </is>
      </c>
      <c r="C66" s="86" t="inlineStr">
        <is>
          <t>Q2</t>
        </is>
      </c>
      <c r="D66" s="87" t="inlineStr">
        <is>
          <t>Mobile</t>
        </is>
      </c>
      <c r="E66" s="87" t="inlineStr">
        <is>
          <t>Electronics</t>
        </is>
      </c>
      <c r="F66" s="87" t="inlineStr">
        <is>
          <t>North</t>
        </is>
      </c>
      <c r="G66" s="87" t="inlineStr">
        <is>
          <t>Amit Kumar</t>
        </is>
      </c>
      <c r="H66" s="86" t="n">
        <v>11</v>
      </c>
      <c r="I66" s="88" t="n">
        <v>18000</v>
      </c>
      <c r="J66" s="88" t="n">
        <v>198000</v>
      </c>
      <c r="K66" s="88" t="n">
        <v>125522</v>
      </c>
      <c r="L66" s="88" t="n">
        <v>72478</v>
      </c>
      <c r="M66" s="89" t="n">
        <v>36.61</v>
      </c>
    </row>
    <row r="67" ht="15" customHeight="1" s="65">
      <c r="A67" s="90" t="n">
        <v>1066</v>
      </c>
      <c r="B67" s="90" t="inlineStr">
        <is>
          <t>Apr</t>
        </is>
      </c>
      <c r="C67" s="90" t="inlineStr">
        <is>
          <t>Q2</t>
        </is>
      </c>
      <c r="D67" s="91" t="inlineStr">
        <is>
          <t>Earphones</t>
        </is>
      </c>
      <c r="E67" s="91" t="inlineStr">
        <is>
          <t>Electronics</t>
        </is>
      </c>
      <c r="F67" s="91" t="inlineStr">
        <is>
          <t>West</t>
        </is>
      </c>
      <c r="G67" s="91" t="inlineStr">
        <is>
          <t>Rohit Verma</t>
        </is>
      </c>
      <c r="H67" s="90" t="n">
        <v>6</v>
      </c>
      <c r="I67" s="92" t="n">
        <v>3500</v>
      </c>
      <c r="J67" s="92" t="n">
        <v>21000</v>
      </c>
      <c r="K67" s="92" t="n">
        <v>11571</v>
      </c>
      <c r="L67" s="92" t="n">
        <v>9429</v>
      </c>
      <c r="M67" s="93" t="n">
        <v>44.9</v>
      </c>
    </row>
    <row r="68" ht="15" customHeight="1" s="65">
      <c r="A68" s="86" t="n">
        <v>1067</v>
      </c>
      <c r="B68" s="86" t="inlineStr">
        <is>
          <t>Apr</t>
        </is>
      </c>
      <c r="C68" s="86" t="inlineStr">
        <is>
          <t>Q2</t>
        </is>
      </c>
      <c r="D68" s="87" t="inlineStr">
        <is>
          <t>Smart Watch</t>
        </is>
      </c>
      <c r="E68" s="87" t="inlineStr">
        <is>
          <t>Electronics</t>
        </is>
      </c>
      <c r="F68" s="87" t="inlineStr">
        <is>
          <t>North</t>
        </is>
      </c>
      <c r="G68" s="87" t="inlineStr">
        <is>
          <t>Rohit Verma</t>
        </is>
      </c>
      <c r="H68" s="86" t="n">
        <v>1</v>
      </c>
      <c r="I68" s="88" t="n">
        <v>12000</v>
      </c>
      <c r="J68" s="88" t="n">
        <v>12000</v>
      </c>
      <c r="K68" s="88" t="n">
        <v>6924</v>
      </c>
      <c r="L68" s="88" t="n">
        <v>5076</v>
      </c>
      <c r="M68" s="89" t="n">
        <v>42.3</v>
      </c>
    </row>
    <row r="69" ht="15" customHeight="1" s="65">
      <c r="A69" s="90" t="n">
        <v>1068</v>
      </c>
      <c r="B69" s="90" t="inlineStr">
        <is>
          <t>Apr</t>
        </is>
      </c>
      <c r="C69" s="90" t="inlineStr">
        <is>
          <t>Q2</t>
        </is>
      </c>
      <c r="D69" s="91" t="inlineStr">
        <is>
          <t>Tablet</t>
        </is>
      </c>
      <c r="E69" s="91" t="inlineStr">
        <is>
          <t>Electronics</t>
        </is>
      </c>
      <c r="F69" s="91" t="inlineStr">
        <is>
          <t>North</t>
        </is>
      </c>
      <c r="G69" s="91" t="inlineStr">
        <is>
          <t>Priya Singh</t>
        </is>
      </c>
      <c r="H69" s="90" t="n">
        <v>6</v>
      </c>
      <c r="I69" s="92" t="n">
        <v>25000</v>
      </c>
      <c r="J69" s="92" t="n">
        <v>150000</v>
      </c>
      <c r="K69" s="92" t="n">
        <v>91552</v>
      </c>
      <c r="L69" s="92" t="n">
        <v>58448</v>
      </c>
      <c r="M69" s="93" t="n">
        <v>38.97</v>
      </c>
    </row>
    <row r="70" ht="15" customHeight="1" s="65">
      <c r="A70" s="86" t="n">
        <v>1069</v>
      </c>
      <c r="B70" s="86" t="inlineStr">
        <is>
          <t>Apr</t>
        </is>
      </c>
      <c r="C70" s="86" t="inlineStr">
        <is>
          <t>Q2</t>
        </is>
      </c>
      <c r="D70" s="87" t="inlineStr">
        <is>
          <t>Smart Watch</t>
        </is>
      </c>
      <c r="E70" s="87" t="inlineStr">
        <is>
          <t>Electronics</t>
        </is>
      </c>
      <c r="F70" s="87" t="inlineStr">
        <is>
          <t>West</t>
        </is>
      </c>
      <c r="G70" s="87" t="inlineStr">
        <is>
          <t>Amit Kumar</t>
        </is>
      </c>
      <c r="H70" s="86" t="n">
        <v>2</v>
      </c>
      <c r="I70" s="88" t="n">
        <v>12000</v>
      </c>
      <c r="J70" s="88" t="n">
        <v>24000</v>
      </c>
      <c r="K70" s="88" t="n">
        <v>14648</v>
      </c>
      <c r="L70" s="88" t="n">
        <v>9352</v>
      </c>
      <c r="M70" s="89" t="n">
        <v>38.97</v>
      </c>
    </row>
    <row r="71" ht="15" customHeight="1" s="65">
      <c r="A71" s="90" t="n">
        <v>1070</v>
      </c>
      <c r="B71" s="90" t="inlineStr">
        <is>
          <t>Apr</t>
        </is>
      </c>
      <c r="C71" s="90" t="inlineStr">
        <is>
          <t>Q2</t>
        </is>
      </c>
      <c r="D71" s="91" t="inlineStr">
        <is>
          <t>Laptop</t>
        </is>
      </c>
      <c r="E71" s="91" t="inlineStr">
        <is>
          <t>Electronics</t>
        </is>
      </c>
      <c r="F71" s="91" t="inlineStr">
        <is>
          <t>West</t>
        </is>
      </c>
      <c r="G71" s="91" t="inlineStr">
        <is>
          <t>Amit Kumar</t>
        </is>
      </c>
      <c r="H71" s="90" t="n">
        <v>8</v>
      </c>
      <c r="I71" s="92" t="n">
        <v>55000</v>
      </c>
      <c r="J71" s="92" t="n">
        <v>440000</v>
      </c>
      <c r="K71" s="92" t="n">
        <v>308500</v>
      </c>
      <c r="L71" s="92" t="n">
        <v>131500</v>
      </c>
      <c r="M71" s="93" t="n">
        <v>29.89</v>
      </c>
    </row>
    <row r="72" ht="15" customHeight="1" s="65">
      <c r="A72" s="86" t="n">
        <v>1071</v>
      </c>
      <c r="B72" s="86" t="inlineStr">
        <is>
          <t>May</t>
        </is>
      </c>
      <c r="C72" s="86" t="inlineStr">
        <is>
          <t>Q2</t>
        </is>
      </c>
      <c r="D72" s="87" t="inlineStr">
        <is>
          <t>Laptop</t>
        </is>
      </c>
      <c r="E72" s="87" t="inlineStr">
        <is>
          <t>Electronics</t>
        </is>
      </c>
      <c r="F72" s="87" t="inlineStr">
        <is>
          <t>West</t>
        </is>
      </c>
      <c r="G72" s="87" t="inlineStr">
        <is>
          <t>Rahul Sharma</t>
        </is>
      </c>
      <c r="H72" s="86" t="n">
        <v>8</v>
      </c>
      <c r="I72" s="88" t="n">
        <v>55000</v>
      </c>
      <c r="J72" s="88" t="n">
        <v>440000</v>
      </c>
      <c r="K72" s="88" t="n">
        <v>295533</v>
      </c>
      <c r="L72" s="88" t="n">
        <v>144467</v>
      </c>
      <c r="M72" s="89" t="n">
        <v>32.83</v>
      </c>
    </row>
    <row r="73" ht="15" customHeight="1" s="65">
      <c r="A73" s="90" t="n">
        <v>1072</v>
      </c>
      <c r="B73" s="90" t="inlineStr">
        <is>
          <t>May</t>
        </is>
      </c>
      <c r="C73" s="90" t="inlineStr">
        <is>
          <t>Q2</t>
        </is>
      </c>
      <c r="D73" s="91" t="inlineStr">
        <is>
          <t>Smart Watch</t>
        </is>
      </c>
      <c r="E73" s="91" t="inlineStr">
        <is>
          <t>Electronics</t>
        </is>
      </c>
      <c r="F73" s="91" t="inlineStr">
        <is>
          <t>South</t>
        </is>
      </c>
      <c r="G73" s="91" t="inlineStr">
        <is>
          <t>Amit Kumar</t>
        </is>
      </c>
      <c r="H73" s="90" t="n">
        <v>9</v>
      </c>
      <c r="I73" s="92" t="n">
        <v>12000</v>
      </c>
      <c r="J73" s="92" t="n">
        <v>108000</v>
      </c>
      <c r="K73" s="92" t="n">
        <v>62496</v>
      </c>
      <c r="L73" s="92" t="n">
        <v>45504</v>
      </c>
      <c r="M73" s="93" t="n">
        <v>42.13</v>
      </c>
    </row>
    <row r="74" ht="15" customHeight="1" s="65">
      <c r="A74" s="86" t="n">
        <v>1073</v>
      </c>
      <c r="B74" s="86" t="inlineStr">
        <is>
          <t>May</t>
        </is>
      </c>
      <c r="C74" s="86" t="inlineStr">
        <is>
          <t>Q2</t>
        </is>
      </c>
      <c r="D74" s="87" t="inlineStr">
        <is>
          <t>Mobile</t>
        </is>
      </c>
      <c r="E74" s="87" t="inlineStr">
        <is>
          <t>Electronics</t>
        </is>
      </c>
      <c r="F74" s="87" t="inlineStr">
        <is>
          <t>South</t>
        </is>
      </c>
      <c r="G74" s="87" t="inlineStr">
        <is>
          <t>Priya Singh</t>
        </is>
      </c>
      <c r="H74" s="86" t="n">
        <v>5</v>
      </c>
      <c r="I74" s="88" t="n">
        <v>18000</v>
      </c>
      <c r="J74" s="88" t="n">
        <v>90000</v>
      </c>
      <c r="K74" s="88" t="n">
        <v>55814</v>
      </c>
      <c r="L74" s="88" t="n">
        <v>34186</v>
      </c>
      <c r="M74" s="89" t="n">
        <v>37.98</v>
      </c>
    </row>
    <row r="75" ht="15" customHeight="1" s="65">
      <c r="A75" s="90" t="n">
        <v>1074</v>
      </c>
      <c r="B75" s="90" t="inlineStr">
        <is>
          <t>May</t>
        </is>
      </c>
      <c r="C75" s="90" t="inlineStr">
        <is>
          <t>Q2</t>
        </is>
      </c>
      <c r="D75" s="91" t="inlineStr">
        <is>
          <t>Mobile</t>
        </is>
      </c>
      <c r="E75" s="91" t="inlineStr">
        <is>
          <t>Electronics</t>
        </is>
      </c>
      <c r="F75" s="91" t="inlineStr">
        <is>
          <t>East</t>
        </is>
      </c>
      <c r="G75" s="91" t="inlineStr">
        <is>
          <t>Sneha Patel</t>
        </is>
      </c>
      <c r="H75" s="90" t="n">
        <v>9</v>
      </c>
      <c r="I75" s="92" t="n">
        <v>18000</v>
      </c>
      <c r="J75" s="92" t="n">
        <v>162000</v>
      </c>
      <c r="K75" s="92" t="n">
        <v>105037</v>
      </c>
      <c r="L75" s="92" t="n">
        <v>56963</v>
      </c>
      <c r="M75" s="93" t="n">
        <v>35.16</v>
      </c>
    </row>
    <row r="76" ht="15" customHeight="1" s="65">
      <c r="A76" s="86" t="n">
        <v>1075</v>
      </c>
      <c r="B76" s="86" t="inlineStr">
        <is>
          <t>May</t>
        </is>
      </c>
      <c r="C76" s="86" t="inlineStr">
        <is>
          <t>Q2</t>
        </is>
      </c>
      <c r="D76" s="87" t="inlineStr">
        <is>
          <t>Mobile</t>
        </is>
      </c>
      <c r="E76" s="87" t="inlineStr">
        <is>
          <t>Electronics</t>
        </is>
      </c>
      <c r="F76" s="87" t="inlineStr">
        <is>
          <t>North</t>
        </is>
      </c>
      <c r="G76" s="87" t="inlineStr">
        <is>
          <t>Amit Kumar</t>
        </is>
      </c>
      <c r="H76" s="86" t="n">
        <v>2</v>
      </c>
      <c r="I76" s="88" t="n">
        <v>18000</v>
      </c>
      <c r="J76" s="88" t="n">
        <v>36000</v>
      </c>
      <c r="K76" s="88" t="n">
        <v>22249</v>
      </c>
      <c r="L76" s="88" t="n">
        <v>13751</v>
      </c>
      <c r="M76" s="89" t="n">
        <v>38.2</v>
      </c>
    </row>
    <row r="77" ht="15" customHeight="1" s="65">
      <c r="A77" s="90" t="n">
        <v>1076</v>
      </c>
      <c r="B77" s="90" t="inlineStr">
        <is>
          <t>May</t>
        </is>
      </c>
      <c r="C77" s="90" t="inlineStr">
        <is>
          <t>Q2</t>
        </is>
      </c>
      <c r="D77" s="91" t="inlineStr">
        <is>
          <t>Earphones</t>
        </is>
      </c>
      <c r="E77" s="91" t="inlineStr">
        <is>
          <t>Electronics</t>
        </is>
      </c>
      <c r="F77" s="91" t="inlineStr">
        <is>
          <t>North</t>
        </is>
      </c>
      <c r="G77" s="91" t="inlineStr">
        <is>
          <t>Vikas Rao</t>
        </is>
      </c>
      <c r="H77" s="90" t="n">
        <v>2</v>
      </c>
      <c r="I77" s="92" t="n">
        <v>3500</v>
      </c>
      <c r="J77" s="92" t="n">
        <v>7000</v>
      </c>
      <c r="K77" s="92" t="n">
        <v>3935</v>
      </c>
      <c r="L77" s="92" t="n">
        <v>3065</v>
      </c>
      <c r="M77" s="93" t="n">
        <v>43.79</v>
      </c>
    </row>
    <row r="78" ht="15" customHeight="1" s="65">
      <c r="A78" s="86" t="n">
        <v>1077</v>
      </c>
      <c r="B78" s="86" t="inlineStr">
        <is>
          <t>May</t>
        </is>
      </c>
      <c r="C78" s="86" t="inlineStr">
        <is>
          <t>Q2</t>
        </is>
      </c>
      <c r="D78" s="87" t="inlineStr">
        <is>
          <t>Earphones</t>
        </is>
      </c>
      <c r="E78" s="87" t="inlineStr">
        <is>
          <t>Electronics</t>
        </is>
      </c>
      <c r="F78" s="87" t="inlineStr">
        <is>
          <t>South</t>
        </is>
      </c>
      <c r="G78" s="87" t="inlineStr">
        <is>
          <t>Priya Singh</t>
        </is>
      </c>
      <c r="H78" s="86" t="n">
        <v>3</v>
      </c>
      <c r="I78" s="88" t="n">
        <v>3500</v>
      </c>
      <c r="J78" s="88" t="n">
        <v>10500</v>
      </c>
      <c r="K78" s="88" t="n">
        <v>5557</v>
      </c>
      <c r="L78" s="88" t="n">
        <v>4943</v>
      </c>
      <c r="M78" s="89" t="n">
        <v>47.08</v>
      </c>
    </row>
    <row r="79" ht="15" customHeight="1" s="65">
      <c r="A79" s="90" t="n">
        <v>1078</v>
      </c>
      <c r="B79" s="90" t="inlineStr">
        <is>
          <t>May</t>
        </is>
      </c>
      <c r="C79" s="90" t="inlineStr">
        <is>
          <t>Q2</t>
        </is>
      </c>
      <c r="D79" s="91" t="inlineStr">
        <is>
          <t>Mobile</t>
        </is>
      </c>
      <c r="E79" s="91" t="inlineStr">
        <is>
          <t>Electronics</t>
        </is>
      </c>
      <c r="F79" s="91" t="inlineStr">
        <is>
          <t>East</t>
        </is>
      </c>
      <c r="G79" s="91" t="inlineStr">
        <is>
          <t>Rohit Verma</t>
        </is>
      </c>
      <c r="H79" s="90" t="n">
        <v>6</v>
      </c>
      <c r="I79" s="92" t="n">
        <v>18000</v>
      </c>
      <c r="J79" s="92" t="n">
        <v>108000</v>
      </c>
      <c r="K79" s="92" t="n">
        <v>67491</v>
      </c>
      <c r="L79" s="92" t="n">
        <v>40509</v>
      </c>
      <c r="M79" s="93" t="n">
        <v>37.51</v>
      </c>
    </row>
    <row r="80" ht="15" customHeight="1" s="65">
      <c r="A80" s="86" t="n">
        <v>1079</v>
      </c>
      <c r="B80" s="86" t="inlineStr">
        <is>
          <t>May</t>
        </is>
      </c>
      <c r="C80" s="86" t="inlineStr">
        <is>
          <t>Q2</t>
        </is>
      </c>
      <c r="D80" s="87" t="inlineStr">
        <is>
          <t>Mobile</t>
        </is>
      </c>
      <c r="E80" s="87" t="inlineStr">
        <is>
          <t>Electronics</t>
        </is>
      </c>
      <c r="F80" s="87" t="inlineStr">
        <is>
          <t>South</t>
        </is>
      </c>
      <c r="G80" s="87" t="inlineStr">
        <is>
          <t>Neha Gupta</t>
        </is>
      </c>
      <c r="H80" s="86" t="n">
        <v>7</v>
      </c>
      <c r="I80" s="88" t="n">
        <v>18000</v>
      </c>
      <c r="J80" s="88" t="n">
        <v>126000</v>
      </c>
      <c r="K80" s="88" t="n">
        <v>74986</v>
      </c>
      <c r="L80" s="88" t="n">
        <v>51014</v>
      </c>
      <c r="M80" s="89" t="n">
        <v>40.49</v>
      </c>
    </row>
    <row r="81" ht="15" customHeight="1" s="65">
      <c r="A81" s="90" t="n">
        <v>1080</v>
      </c>
      <c r="B81" s="90" t="inlineStr">
        <is>
          <t>May</t>
        </is>
      </c>
      <c r="C81" s="90" t="inlineStr">
        <is>
          <t>Q2</t>
        </is>
      </c>
      <c r="D81" s="91" t="inlineStr">
        <is>
          <t>Earphones</t>
        </is>
      </c>
      <c r="E81" s="91" t="inlineStr">
        <is>
          <t>Electronics</t>
        </is>
      </c>
      <c r="F81" s="91" t="inlineStr">
        <is>
          <t>North</t>
        </is>
      </c>
      <c r="G81" s="91" t="inlineStr">
        <is>
          <t>Rahul Sharma</t>
        </is>
      </c>
      <c r="H81" s="90" t="n">
        <v>6</v>
      </c>
      <c r="I81" s="92" t="n">
        <v>3500</v>
      </c>
      <c r="J81" s="92" t="n">
        <v>21000</v>
      </c>
      <c r="K81" s="92" t="n">
        <v>10814</v>
      </c>
      <c r="L81" s="92" t="n">
        <v>10186</v>
      </c>
      <c r="M81" s="93" t="n">
        <v>48.5</v>
      </c>
    </row>
    <row r="82" ht="15" customHeight="1" s="65">
      <c r="A82" s="86" t="n">
        <v>1081</v>
      </c>
      <c r="B82" s="86" t="inlineStr">
        <is>
          <t>May</t>
        </is>
      </c>
      <c r="C82" s="86" t="inlineStr">
        <is>
          <t>Q2</t>
        </is>
      </c>
      <c r="D82" s="87" t="inlineStr">
        <is>
          <t>Mobile</t>
        </is>
      </c>
      <c r="E82" s="87" t="inlineStr">
        <is>
          <t>Electronics</t>
        </is>
      </c>
      <c r="F82" s="87" t="inlineStr">
        <is>
          <t>North</t>
        </is>
      </c>
      <c r="G82" s="87" t="inlineStr">
        <is>
          <t>Vikas Rao</t>
        </is>
      </c>
      <c r="H82" s="86" t="n">
        <v>2</v>
      </c>
      <c r="I82" s="88" t="n">
        <v>18000</v>
      </c>
      <c r="J82" s="88" t="n">
        <v>36000</v>
      </c>
      <c r="K82" s="88" t="n">
        <v>21652</v>
      </c>
      <c r="L82" s="88" t="n">
        <v>14348</v>
      </c>
      <c r="M82" s="89" t="n">
        <v>39.86</v>
      </c>
    </row>
    <row r="83" ht="15" customHeight="1" s="65">
      <c r="A83" s="90" t="n">
        <v>1082</v>
      </c>
      <c r="B83" s="90" t="inlineStr">
        <is>
          <t>May</t>
        </is>
      </c>
      <c r="C83" s="90" t="inlineStr">
        <is>
          <t>Q2</t>
        </is>
      </c>
      <c r="D83" s="91" t="inlineStr">
        <is>
          <t>Smart Watch</t>
        </is>
      </c>
      <c r="E83" s="91" t="inlineStr">
        <is>
          <t>Electronics</t>
        </is>
      </c>
      <c r="F83" s="91" t="inlineStr">
        <is>
          <t>North</t>
        </is>
      </c>
      <c r="G83" s="91" t="inlineStr">
        <is>
          <t>Vikas Rao</t>
        </is>
      </c>
      <c r="H83" s="90" t="n">
        <v>3</v>
      </c>
      <c r="I83" s="92" t="n">
        <v>12000</v>
      </c>
      <c r="J83" s="92" t="n">
        <v>36000</v>
      </c>
      <c r="K83" s="92" t="n">
        <v>22250</v>
      </c>
      <c r="L83" s="92" t="n">
        <v>13750</v>
      </c>
      <c r="M83" s="93" t="n">
        <v>38.19</v>
      </c>
    </row>
    <row r="84" ht="15" customHeight="1" s="65">
      <c r="A84" s="86" t="n">
        <v>1083</v>
      </c>
      <c r="B84" s="86" t="inlineStr">
        <is>
          <t>May</t>
        </is>
      </c>
      <c r="C84" s="86" t="inlineStr">
        <is>
          <t>Q2</t>
        </is>
      </c>
      <c r="D84" s="87" t="inlineStr">
        <is>
          <t>Laptop</t>
        </is>
      </c>
      <c r="E84" s="87" t="inlineStr">
        <is>
          <t>Electronics</t>
        </is>
      </c>
      <c r="F84" s="87" t="inlineStr">
        <is>
          <t>South</t>
        </is>
      </c>
      <c r="G84" s="87" t="inlineStr">
        <is>
          <t>Amit Kumar</t>
        </is>
      </c>
      <c r="H84" s="86" t="n">
        <v>10</v>
      </c>
      <c r="I84" s="88" t="n">
        <v>55000</v>
      </c>
      <c r="J84" s="88" t="n">
        <v>550000</v>
      </c>
      <c r="K84" s="88" t="n">
        <v>365423</v>
      </c>
      <c r="L84" s="88" t="n">
        <v>184577</v>
      </c>
      <c r="M84" s="89" t="n">
        <v>33.56</v>
      </c>
    </row>
    <row r="85" ht="15" customHeight="1" s="65">
      <c r="A85" s="90" t="n">
        <v>1084</v>
      </c>
      <c r="B85" s="90" t="inlineStr">
        <is>
          <t>May</t>
        </is>
      </c>
      <c r="C85" s="90" t="inlineStr">
        <is>
          <t>Q2</t>
        </is>
      </c>
      <c r="D85" s="91" t="inlineStr">
        <is>
          <t>Mobile</t>
        </is>
      </c>
      <c r="E85" s="91" t="inlineStr">
        <is>
          <t>Electronics</t>
        </is>
      </c>
      <c r="F85" s="91" t="inlineStr">
        <is>
          <t>South</t>
        </is>
      </c>
      <c r="G85" s="91" t="inlineStr">
        <is>
          <t>Rahul Sharma</t>
        </is>
      </c>
      <c r="H85" s="90" t="n">
        <v>5</v>
      </c>
      <c r="I85" s="92" t="n">
        <v>18000</v>
      </c>
      <c r="J85" s="92" t="n">
        <v>90000</v>
      </c>
      <c r="K85" s="92" t="n">
        <v>53868</v>
      </c>
      <c r="L85" s="92" t="n">
        <v>36132</v>
      </c>
      <c r="M85" s="93" t="n">
        <v>40.15</v>
      </c>
    </row>
    <row r="86" ht="15" customHeight="1" s="65">
      <c r="A86" s="86" t="n">
        <v>1085</v>
      </c>
      <c r="B86" s="86" t="inlineStr">
        <is>
          <t>May</t>
        </is>
      </c>
      <c r="C86" s="86" t="inlineStr">
        <is>
          <t>Q2</t>
        </is>
      </c>
      <c r="D86" s="87" t="inlineStr">
        <is>
          <t>Tablet</t>
        </is>
      </c>
      <c r="E86" s="87" t="inlineStr">
        <is>
          <t>Electronics</t>
        </is>
      </c>
      <c r="F86" s="87" t="inlineStr">
        <is>
          <t>West</t>
        </is>
      </c>
      <c r="G86" s="87" t="inlineStr">
        <is>
          <t>Rohit Verma</t>
        </is>
      </c>
      <c r="H86" s="86" t="n">
        <v>1</v>
      </c>
      <c r="I86" s="88" t="n">
        <v>25000</v>
      </c>
      <c r="J86" s="88" t="n">
        <v>25000</v>
      </c>
      <c r="K86" s="88" t="n">
        <v>15968</v>
      </c>
      <c r="L86" s="88" t="n">
        <v>9032</v>
      </c>
      <c r="M86" s="89" t="n">
        <v>36.13</v>
      </c>
    </row>
    <row r="87" ht="15" customHeight="1" s="65">
      <c r="A87" s="90" t="n">
        <v>1086</v>
      </c>
      <c r="B87" s="90" t="inlineStr">
        <is>
          <t>May</t>
        </is>
      </c>
      <c r="C87" s="90" t="inlineStr">
        <is>
          <t>Q2</t>
        </is>
      </c>
      <c r="D87" s="91" t="inlineStr">
        <is>
          <t>Mobile</t>
        </is>
      </c>
      <c r="E87" s="91" t="inlineStr">
        <is>
          <t>Electronics</t>
        </is>
      </c>
      <c r="F87" s="91" t="inlineStr">
        <is>
          <t>South</t>
        </is>
      </c>
      <c r="G87" s="91" t="inlineStr">
        <is>
          <t>Amit Kumar</t>
        </is>
      </c>
      <c r="H87" s="90" t="n">
        <v>1</v>
      </c>
      <c r="I87" s="92" t="n">
        <v>18000</v>
      </c>
      <c r="J87" s="92" t="n">
        <v>18000</v>
      </c>
      <c r="K87" s="92" t="n">
        <v>10471</v>
      </c>
      <c r="L87" s="92" t="n">
        <v>7529</v>
      </c>
      <c r="M87" s="93" t="n">
        <v>41.83</v>
      </c>
    </row>
    <row r="88" ht="15" customHeight="1" s="65">
      <c r="A88" s="86" t="n">
        <v>1087</v>
      </c>
      <c r="B88" s="86" t="inlineStr">
        <is>
          <t>May</t>
        </is>
      </c>
      <c r="C88" s="86" t="inlineStr">
        <is>
          <t>Q2</t>
        </is>
      </c>
      <c r="D88" s="87" t="inlineStr">
        <is>
          <t>Mobile</t>
        </is>
      </c>
      <c r="E88" s="87" t="inlineStr">
        <is>
          <t>Electronics</t>
        </is>
      </c>
      <c r="F88" s="87" t="inlineStr">
        <is>
          <t>North</t>
        </is>
      </c>
      <c r="G88" s="87" t="inlineStr">
        <is>
          <t>Vikas Rao</t>
        </is>
      </c>
      <c r="H88" s="86" t="n">
        <v>1</v>
      </c>
      <c r="I88" s="88" t="n">
        <v>18000</v>
      </c>
      <c r="J88" s="88" t="n">
        <v>18000</v>
      </c>
      <c r="K88" s="88" t="n">
        <v>11369</v>
      </c>
      <c r="L88" s="88" t="n">
        <v>6631</v>
      </c>
      <c r="M88" s="89" t="n">
        <v>36.84</v>
      </c>
    </row>
    <row r="89" ht="15" customHeight="1" s="65">
      <c r="A89" s="90" t="n">
        <v>1088</v>
      </c>
      <c r="B89" s="90" t="inlineStr">
        <is>
          <t>May</t>
        </is>
      </c>
      <c r="C89" s="90" t="inlineStr">
        <is>
          <t>Q2</t>
        </is>
      </c>
      <c r="D89" s="91" t="inlineStr">
        <is>
          <t>Mobile</t>
        </is>
      </c>
      <c r="E89" s="91" t="inlineStr">
        <is>
          <t>Electronics</t>
        </is>
      </c>
      <c r="F89" s="91" t="inlineStr">
        <is>
          <t>East</t>
        </is>
      </c>
      <c r="G89" s="91" t="inlineStr">
        <is>
          <t>Priya Singh</t>
        </is>
      </c>
      <c r="H89" s="90" t="n">
        <v>9</v>
      </c>
      <c r="I89" s="92" t="n">
        <v>18000</v>
      </c>
      <c r="J89" s="92" t="n">
        <v>162000</v>
      </c>
      <c r="K89" s="92" t="n">
        <v>104898</v>
      </c>
      <c r="L89" s="92" t="n">
        <v>57102</v>
      </c>
      <c r="M89" s="93" t="n">
        <v>35.25</v>
      </c>
    </row>
    <row r="90" ht="15" customHeight="1" s="65">
      <c r="A90" s="86" t="n">
        <v>1089</v>
      </c>
      <c r="B90" s="86" t="inlineStr">
        <is>
          <t>May</t>
        </is>
      </c>
      <c r="C90" s="86" t="inlineStr">
        <is>
          <t>Q2</t>
        </is>
      </c>
      <c r="D90" s="87" t="inlineStr">
        <is>
          <t>Earphones</t>
        </is>
      </c>
      <c r="E90" s="87" t="inlineStr">
        <is>
          <t>Electronics</t>
        </is>
      </c>
      <c r="F90" s="87" t="inlineStr">
        <is>
          <t>South</t>
        </is>
      </c>
      <c r="G90" s="87" t="inlineStr">
        <is>
          <t>Rohit Verma</t>
        </is>
      </c>
      <c r="H90" s="86" t="n">
        <v>8</v>
      </c>
      <c r="I90" s="88" t="n">
        <v>3500</v>
      </c>
      <c r="J90" s="88" t="n">
        <v>28000</v>
      </c>
      <c r="K90" s="88" t="n">
        <v>16306</v>
      </c>
      <c r="L90" s="88" t="n">
        <v>11694</v>
      </c>
      <c r="M90" s="89" t="n">
        <v>41.76</v>
      </c>
    </row>
    <row r="91" ht="15" customHeight="1" s="65">
      <c r="A91" s="90" t="n">
        <v>1090</v>
      </c>
      <c r="B91" s="90" t="inlineStr">
        <is>
          <t>Jun</t>
        </is>
      </c>
      <c r="C91" s="90" t="inlineStr">
        <is>
          <t>Q2</t>
        </is>
      </c>
      <c r="D91" s="91" t="inlineStr">
        <is>
          <t>Mobile</t>
        </is>
      </c>
      <c r="E91" s="91" t="inlineStr">
        <is>
          <t>Electronics</t>
        </is>
      </c>
      <c r="F91" s="91" t="inlineStr">
        <is>
          <t>East</t>
        </is>
      </c>
      <c r="G91" s="91" t="inlineStr">
        <is>
          <t>Priya Singh</t>
        </is>
      </c>
      <c r="H91" s="90" t="n">
        <v>4</v>
      </c>
      <c r="I91" s="92" t="n">
        <v>18000</v>
      </c>
      <c r="J91" s="92" t="n">
        <v>72000</v>
      </c>
      <c r="K91" s="92" t="n">
        <v>44820</v>
      </c>
      <c r="L91" s="92" t="n">
        <v>27180</v>
      </c>
      <c r="M91" s="93" t="n">
        <v>37.75</v>
      </c>
    </row>
    <row r="92" ht="15" customHeight="1" s="65">
      <c r="A92" s="86" t="n">
        <v>1091</v>
      </c>
      <c r="B92" s="86" t="inlineStr">
        <is>
          <t>Jun</t>
        </is>
      </c>
      <c r="C92" s="86" t="inlineStr">
        <is>
          <t>Q2</t>
        </is>
      </c>
      <c r="D92" s="87" t="inlineStr">
        <is>
          <t>Laptop</t>
        </is>
      </c>
      <c r="E92" s="87" t="inlineStr">
        <is>
          <t>Electronics</t>
        </is>
      </c>
      <c r="F92" s="87" t="inlineStr">
        <is>
          <t>North</t>
        </is>
      </c>
      <c r="G92" s="87" t="inlineStr">
        <is>
          <t>Vikas Rao</t>
        </is>
      </c>
      <c r="H92" s="86" t="n">
        <v>6</v>
      </c>
      <c r="I92" s="88" t="n">
        <v>55000</v>
      </c>
      <c r="J92" s="88" t="n">
        <v>330000</v>
      </c>
      <c r="K92" s="88" t="n">
        <v>227592</v>
      </c>
      <c r="L92" s="88" t="n">
        <v>102408</v>
      </c>
      <c r="M92" s="89" t="n">
        <v>31.03</v>
      </c>
    </row>
    <row r="93" ht="15" customHeight="1" s="65">
      <c r="A93" s="90" t="n">
        <v>1092</v>
      </c>
      <c r="B93" s="90" t="inlineStr">
        <is>
          <t>Jun</t>
        </is>
      </c>
      <c r="C93" s="90" t="inlineStr">
        <is>
          <t>Q2</t>
        </is>
      </c>
      <c r="D93" s="91" t="inlineStr">
        <is>
          <t>Mobile</t>
        </is>
      </c>
      <c r="E93" s="91" t="inlineStr">
        <is>
          <t>Electronics</t>
        </is>
      </c>
      <c r="F93" s="91" t="inlineStr">
        <is>
          <t>South</t>
        </is>
      </c>
      <c r="G93" s="91" t="inlineStr">
        <is>
          <t>Sneha Patel</t>
        </is>
      </c>
      <c r="H93" s="90" t="n">
        <v>4</v>
      </c>
      <c r="I93" s="92" t="n">
        <v>18000</v>
      </c>
      <c r="J93" s="92" t="n">
        <v>72000</v>
      </c>
      <c r="K93" s="92" t="n">
        <v>44307</v>
      </c>
      <c r="L93" s="92" t="n">
        <v>27693</v>
      </c>
      <c r="M93" s="93" t="n">
        <v>38.46</v>
      </c>
    </row>
    <row r="94" ht="15" customHeight="1" s="65">
      <c r="A94" s="86" t="n">
        <v>1093</v>
      </c>
      <c r="B94" s="86" t="inlineStr">
        <is>
          <t>Jun</t>
        </is>
      </c>
      <c r="C94" s="86" t="inlineStr">
        <is>
          <t>Q2</t>
        </is>
      </c>
      <c r="D94" s="87" t="inlineStr">
        <is>
          <t>Mobile</t>
        </is>
      </c>
      <c r="E94" s="87" t="inlineStr">
        <is>
          <t>Electronics</t>
        </is>
      </c>
      <c r="F94" s="87" t="inlineStr">
        <is>
          <t>North</t>
        </is>
      </c>
      <c r="G94" s="87" t="inlineStr">
        <is>
          <t>Vikas Rao</t>
        </is>
      </c>
      <c r="H94" s="86" t="n">
        <v>2</v>
      </c>
      <c r="I94" s="88" t="n">
        <v>18000</v>
      </c>
      <c r="J94" s="88" t="n">
        <v>36000</v>
      </c>
      <c r="K94" s="88" t="n">
        <v>23117</v>
      </c>
      <c r="L94" s="88" t="n">
        <v>12883</v>
      </c>
      <c r="M94" s="89" t="n">
        <v>35.79</v>
      </c>
    </row>
    <row r="95" ht="15" customHeight="1" s="65">
      <c r="A95" s="90" t="n">
        <v>1094</v>
      </c>
      <c r="B95" s="90" t="inlineStr">
        <is>
          <t>Jun</t>
        </is>
      </c>
      <c r="C95" s="90" t="inlineStr">
        <is>
          <t>Q2</t>
        </is>
      </c>
      <c r="D95" s="91" t="inlineStr">
        <is>
          <t>Laptop</t>
        </is>
      </c>
      <c r="E95" s="91" t="inlineStr">
        <is>
          <t>Electronics</t>
        </is>
      </c>
      <c r="F95" s="91" t="inlineStr">
        <is>
          <t>North</t>
        </is>
      </c>
      <c r="G95" s="91" t="inlineStr">
        <is>
          <t>Kavita Joshi</t>
        </is>
      </c>
      <c r="H95" s="90" t="n">
        <v>13</v>
      </c>
      <c r="I95" s="92" t="n">
        <v>55000</v>
      </c>
      <c r="J95" s="92" t="n">
        <v>715000</v>
      </c>
      <c r="K95" s="92" t="n">
        <v>482857</v>
      </c>
      <c r="L95" s="92" t="n">
        <v>232143</v>
      </c>
      <c r="M95" s="93" t="n">
        <v>32.47</v>
      </c>
    </row>
    <row r="96" ht="15" customHeight="1" s="65">
      <c r="A96" s="86" t="n">
        <v>1095</v>
      </c>
      <c r="B96" s="86" t="inlineStr">
        <is>
          <t>Jun</t>
        </is>
      </c>
      <c r="C96" s="86" t="inlineStr">
        <is>
          <t>Q2</t>
        </is>
      </c>
      <c r="D96" s="87" t="inlineStr">
        <is>
          <t>Earphones</t>
        </is>
      </c>
      <c r="E96" s="87" t="inlineStr">
        <is>
          <t>Electronics</t>
        </is>
      </c>
      <c r="F96" s="87" t="inlineStr">
        <is>
          <t>West</t>
        </is>
      </c>
      <c r="G96" s="87" t="inlineStr">
        <is>
          <t>Sneha Patel</t>
        </is>
      </c>
      <c r="H96" s="86" t="n">
        <v>10</v>
      </c>
      <c r="I96" s="88" t="n">
        <v>3500</v>
      </c>
      <c r="J96" s="88" t="n">
        <v>35000</v>
      </c>
      <c r="K96" s="88" t="n">
        <v>19792</v>
      </c>
      <c r="L96" s="88" t="n">
        <v>15208</v>
      </c>
      <c r="M96" s="89" t="n">
        <v>43.45</v>
      </c>
    </row>
    <row r="97" ht="15" customHeight="1" s="65">
      <c r="A97" s="90" t="n">
        <v>1096</v>
      </c>
      <c r="B97" s="90" t="inlineStr">
        <is>
          <t>Jun</t>
        </is>
      </c>
      <c r="C97" s="90" t="inlineStr">
        <is>
          <t>Q2</t>
        </is>
      </c>
      <c r="D97" s="91" t="inlineStr">
        <is>
          <t>Smart Watch</t>
        </is>
      </c>
      <c r="E97" s="91" t="inlineStr">
        <is>
          <t>Electronics</t>
        </is>
      </c>
      <c r="F97" s="91" t="inlineStr">
        <is>
          <t>West</t>
        </is>
      </c>
      <c r="G97" s="91" t="inlineStr">
        <is>
          <t>Vikas Rao</t>
        </is>
      </c>
      <c r="H97" s="90" t="n">
        <v>7</v>
      </c>
      <c r="I97" s="92" t="n">
        <v>12000</v>
      </c>
      <c r="J97" s="92" t="n">
        <v>84000</v>
      </c>
      <c r="K97" s="92" t="n">
        <v>52249</v>
      </c>
      <c r="L97" s="92" t="n">
        <v>31751</v>
      </c>
      <c r="M97" s="93" t="n">
        <v>37.8</v>
      </c>
    </row>
    <row r="98" ht="15" customHeight="1" s="65">
      <c r="A98" s="86" t="n">
        <v>1097</v>
      </c>
      <c r="B98" s="86" t="inlineStr">
        <is>
          <t>Jun</t>
        </is>
      </c>
      <c r="C98" s="86" t="inlineStr">
        <is>
          <t>Q2</t>
        </is>
      </c>
      <c r="D98" s="87" t="inlineStr">
        <is>
          <t>Laptop</t>
        </is>
      </c>
      <c r="E98" s="87" t="inlineStr">
        <is>
          <t>Electronics</t>
        </is>
      </c>
      <c r="F98" s="87" t="inlineStr">
        <is>
          <t>West</t>
        </is>
      </c>
      <c r="G98" s="87" t="inlineStr">
        <is>
          <t>Kavita Joshi</t>
        </is>
      </c>
      <c r="H98" s="86" t="n">
        <v>12</v>
      </c>
      <c r="I98" s="88" t="n">
        <v>55000</v>
      </c>
      <c r="J98" s="88" t="n">
        <v>660000</v>
      </c>
      <c r="K98" s="88" t="n">
        <v>448276</v>
      </c>
      <c r="L98" s="88" t="n">
        <v>211724</v>
      </c>
      <c r="M98" s="89" t="n">
        <v>32.08</v>
      </c>
    </row>
    <row r="99" ht="15" customHeight="1" s="65">
      <c r="A99" s="90" t="n">
        <v>1098</v>
      </c>
      <c r="B99" s="90" t="inlineStr">
        <is>
          <t>Jun</t>
        </is>
      </c>
      <c r="C99" s="90" t="inlineStr">
        <is>
          <t>Q2</t>
        </is>
      </c>
      <c r="D99" s="91" t="inlineStr">
        <is>
          <t>Smart Watch</t>
        </is>
      </c>
      <c r="E99" s="91" t="inlineStr">
        <is>
          <t>Electronics</t>
        </is>
      </c>
      <c r="F99" s="91" t="inlineStr">
        <is>
          <t>North</t>
        </is>
      </c>
      <c r="G99" s="91" t="inlineStr">
        <is>
          <t>Rahul Sharma</t>
        </is>
      </c>
      <c r="H99" s="90" t="n">
        <v>1</v>
      </c>
      <c r="I99" s="92" t="n">
        <v>12000</v>
      </c>
      <c r="J99" s="92" t="n">
        <v>12000</v>
      </c>
      <c r="K99" s="92" t="n">
        <v>7261</v>
      </c>
      <c r="L99" s="92" t="n">
        <v>4739</v>
      </c>
      <c r="M99" s="93" t="n">
        <v>39.49</v>
      </c>
    </row>
    <row r="100" ht="15" customHeight="1" s="65">
      <c r="A100" s="86" t="n">
        <v>1099</v>
      </c>
      <c r="B100" s="86" t="inlineStr">
        <is>
          <t>Jun</t>
        </is>
      </c>
      <c r="C100" s="86" t="inlineStr">
        <is>
          <t>Q2</t>
        </is>
      </c>
      <c r="D100" s="87" t="inlineStr">
        <is>
          <t>Tablet</t>
        </is>
      </c>
      <c r="E100" s="87" t="inlineStr">
        <is>
          <t>Electronics</t>
        </is>
      </c>
      <c r="F100" s="87" t="inlineStr">
        <is>
          <t>West</t>
        </is>
      </c>
      <c r="G100" s="87" t="inlineStr">
        <is>
          <t>Sneha Patel</t>
        </is>
      </c>
      <c r="H100" s="86" t="n">
        <v>7</v>
      </c>
      <c r="I100" s="88" t="n">
        <v>25000</v>
      </c>
      <c r="J100" s="88" t="n">
        <v>175000</v>
      </c>
      <c r="K100" s="88" t="n">
        <v>119115</v>
      </c>
      <c r="L100" s="88" t="n">
        <v>55885</v>
      </c>
      <c r="M100" s="89" t="n">
        <v>31.93</v>
      </c>
    </row>
    <row r="101" ht="15" customHeight="1" s="65">
      <c r="A101" s="90" t="n">
        <v>1100</v>
      </c>
      <c r="B101" s="90" t="inlineStr">
        <is>
          <t>Jun</t>
        </is>
      </c>
      <c r="C101" s="90" t="inlineStr">
        <is>
          <t>Q2</t>
        </is>
      </c>
      <c r="D101" s="91" t="inlineStr">
        <is>
          <t>Earphones</t>
        </is>
      </c>
      <c r="E101" s="91" t="inlineStr">
        <is>
          <t>Electronics</t>
        </is>
      </c>
      <c r="F101" s="91" t="inlineStr">
        <is>
          <t>East</t>
        </is>
      </c>
      <c r="G101" s="91" t="inlineStr">
        <is>
          <t>Rahul Sharma</t>
        </is>
      </c>
      <c r="H101" s="90" t="n">
        <v>1</v>
      </c>
      <c r="I101" s="92" t="n">
        <v>3500</v>
      </c>
      <c r="J101" s="92" t="n">
        <v>3500</v>
      </c>
      <c r="K101" s="92" t="n">
        <v>2009</v>
      </c>
      <c r="L101" s="92" t="n">
        <v>1491</v>
      </c>
      <c r="M101" s="93" t="n">
        <v>42.6</v>
      </c>
    </row>
    <row r="102" ht="15" customHeight="1" s="65">
      <c r="A102" s="86" t="n">
        <v>1101</v>
      </c>
      <c r="B102" s="86" t="inlineStr">
        <is>
          <t>Jun</t>
        </is>
      </c>
      <c r="C102" s="86" t="inlineStr">
        <is>
          <t>Q2</t>
        </is>
      </c>
      <c r="D102" s="87" t="inlineStr">
        <is>
          <t>Mobile</t>
        </is>
      </c>
      <c r="E102" s="87" t="inlineStr">
        <is>
          <t>Electronics</t>
        </is>
      </c>
      <c r="F102" s="87" t="inlineStr">
        <is>
          <t>East</t>
        </is>
      </c>
      <c r="G102" s="87" t="inlineStr">
        <is>
          <t>Priya Singh</t>
        </is>
      </c>
      <c r="H102" s="86" t="n">
        <v>1</v>
      </c>
      <c r="I102" s="88" t="n">
        <v>18000</v>
      </c>
      <c r="J102" s="88" t="n">
        <v>18000</v>
      </c>
      <c r="K102" s="88" t="n">
        <v>11876</v>
      </c>
      <c r="L102" s="88" t="n">
        <v>6124</v>
      </c>
      <c r="M102" s="89" t="n">
        <v>34.02</v>
      </c>
    </row>
    <row r="103" ht="15" customHeight="1" s="65">
      <c r="A103" s="90" t="n">
        <v>1102</v>
      </c>
      <c r="B103" s="90" t="inlineStr">
        <is>
          <t>Jun</t>
        </is>
      </c>
      <c r="C103" s="90" t="inlineStr">
        <is>
          <t>Q2</t>
        </is>
      </c>
      <c r="D103" s="91" t="inlineStr">
        <is>
          <t>Earphones</t>
        </is>
      </c>
      <c r="E103" s="91" t="inlineStr">
        <is>
          <t>Electronics</t>
        </is>
      </c>
      <c r="F103" s="91" t="inlineStr">
        <is>
          <t>West</t>
        </is>
      </c>
      <c r="G103" s="91" t="inlineStr">
        <is>
          <t>Amit Kumar</t>
        </is>
      </c>
      <c r="H103" s="90" t="n">
        <v>3</v>
      </c>
      <c r="I103" s="92" t="n">
        <v>3500</v>
      </c>
      <c r="J103" s="92" t="n">
        <v>10500</v>
      </c>
      <c r="K103" s="92" t="n">
        <v>6043</v>
      </c>
      <c r="L103" s="92" t="n">
        <v>4457</v>
      </c>
      <c r="M103" s="93" t="n">
        <v>42.45</v>
      </c>
    </row>
    <row r="104" ht="15" customHeight="1" s="65">
      <c r="A104" s="86" t="n">
        <v>1103</v>
      </c>
      <c r="B104" s="86" t="inlineStr">
        <is>
          <t>Jun</t>
        </is>
      </c>
      <c r="C104" s="86" t="inlineStr">
        <is>
          <t>Q2</t>
        </is>
      </c>
      <c r="D104" s="87" t="inlineStr">
        <is>
          <t>Earphones</t>
        </is>
      </c>
      <c r="E104" s="87" t="inlineStr">
        <is>
          <t>Electronics</t>
        </is>
      </c>
      <c r="F104" s="87" t="inlineStr">
        <is>
          <t>West</t>
        </is>
      </c>
      <c r="G104" s="87" t="inlineStr">
        <is>
          <t>Rohit Verma</t>
        </is>
      </c>
      <c r="H104" s="86" t="n">
        <v>2</v>
      </c>
      <c r="I104" s="88" t="n">
        <v>3500</v>
      </c>
      <c r="J104" s="88" t="n">
        <v>7000</v>
      </c>
      <c r="K104" s="88" t="n">
        <v>3743</v>
      </c>
      <c r="L104" s="88" t="n">
        <v>3257</v>
      </c>
      <c r="M104" s="89" t="n">
        <v>46.53</v>
      </c>
    </row>
    <row r="105" ht="15" customHeight="1" s="65">
      <c r="A105" s="90" t="n">
        <v>1104</v>
      </c>
      <c r="B105" s="90" t="inlineStr">
        <is>
          <t>Jun</t>
        </is>
      </c>
      <c r="C105" s="90" t="inlineStr">
        <is>
          <t>Q2</t>
        </is>
      </c>
      <c r="D105" s="91" t="inlineStr">
        <is>
          <t>Mobile</t>
        </is>
      </c>
      <c r="E105" s="91" t="inlineStr">
        <is>
          <t>Electronics</t>
        </is>
      </c>
      <c r="F105" s="91" t="inlineStr">
        <is>
          <t>South</t>
        </is>
      </c>
      <c r="G105" s="91" t="inlineStr">
        <is>
          <t>Priya Singh</t>
        </is>
      </c>
      <c r="H105" s="90" t="n">
        <v>2</v>
      </c>
      <c r="I105" s="92" t="n">
        <v>18000</v>
      </c>
      <c r="J105" s="92" t="n">
        <v>36000</v>
      </c>
      <c r="K105" s="92" t="n">
        <v>21655</v>
      </c>
      <c r="L105" s="92" t="n">
        <v>14345</v>
      </c>
      <c r="M105" s="93" t="n">
        <v>39.85</v>
      </c>
    </row>
    <row r="106" ht="15" customHeight="1" s="65">
      <c r="A106" s="86" t="n">
        <v>1105</v>
      </c>
      <c r="B106" s="86" t="inlineStr">
        <is>
          <t>Jun</t>
        </is>
      </c>
      <c r="C106" s="86" t="inlineStr">
        <is>
          <t>Q2</t>
        </is>
      </c>
      <c r="D106" s="87" t="inlineStr">
        <is>
          <t>Tablet</t>
        </is>
      </c>
      <c r="E106" s="87" t="inlineStr">
        <is>
          <t>Electronics</t>
        </is>
      </c>
      <c r="F106" s="87" t="inlineStr">
        <is>
          <t>North</t>
        </is>
      </c>
      <c r="G106" s="87" t="inlineStr">
        <is>
          <t>Amit Kumar</t>
        </is>
      </c>
      <c r="H106" s="86" t="n">
        <v>5</v>
      </c>
      <c r="I106" s="88" t="n">
        <v>25000</v>
      </c>
      <c r="J106" s="88" t="n">
        <v>125000</v>
      </c>
      <c r="K106" s="88" t="n">
        <v>83526</v>
      </c>
      <c r="L106" s="88" t="n">
        <v>41474</v>
      </c>
      <c r="M106" s="89" t="n">
        <v>33.18</v>
      </c>
    </row>
    <row r="107" ht="15" customHeight="1" s="65">
      <c r="A107" s="90" t="n">
        <v>1106</v>
      </c>
      <c r="B107" s="90" t="inlineStr">
        <is>
          <t>Jun</t>
        </is>
      </c>
      <c r="C107" s="90" t="inlineStr">
        <is>
          <t>Q2</t>
        </is>
      </c>
      <c r="D107" s="91" t="inlineStr">
        <is>
          <t>Laptop</t>
        </is>
      </c>
      <c r="E107" s="91" t="inlineStr">
        <is>
          <t>Electronics</t>
        </is>
      </c>
      <c r="F107" s="91" t="inlineStr">
        <is>
          <t>East</t>
        </is>
      </c>
      <c r="G107" s="91" t="inlineStr">
        <is>
          <t>Priya Singh</t>
        </is>
      </c>
      <c r="H107" s="90" t="n">
        <v>4</v>
      </c>
      <c r="I107" s="92" t="n">
        <v>55000</v>
      </c>
      <c r="J107" s="92" t="n">
        <v>220000</v>
      </c>
      <c r="K107" s="92" t="n">
        <v>149133</v>
      </c>
      <c r="L107" s="92" t="n">
        <v>70867</v>
      </c>
      <c r="M107" s="93" t="n">
        <v>32.21</v>
      </c>
    </row>
    <row r="108" ht="15" customHeight="1" s="65">
      <c r="A108" s="86" t="n">
        <v>1107</v>
      </c>
      <c r="B108" s="86" t="inlineStr">
        <is>
          <t>Jun</t>
        </is>
      </c>
      <c r="C108" s="86" t="inlineStr">
        <is>
          <t>Q2</t>
        </is>
      </c>
      <c r="D108" s="87" t="inlineStr">
        <is>
          <t>Laptop</t>
        </is>
      </c>
      <c r="E108" s="87" t="inlineStr">
        <is>
          <t>Electronics</t>
        </is>
      </c>
      <c r="F108" s="87" t="inlineStr">
        <is>
          <t>South</t>
        </is>
      </c>
      <c r="G108" s="87" t="inlineStr">
        <is>
          <t>Kavita Joshi</t>
        </is>
      </c>
      <c r="H108" s="86" t="n">
        <v>4</v>
      </c>
      <c r="I108" s="88" t="n">
        <v>55000</v>
      </c>
      <c r="J108" s="88" t="n">
        <v>220000</v>
      </c>
      <c r="K108" s="88" t="n">
        <v>155690</v>
      </c>
      <c r="L108" s="88" t="n">
        <v>64310</v>
      </c>
      <c r="M108" s="89" t="n">
        <v>29.23</v>
      </c>
    </row>
    <row r="109" ht="15" customHeight="1" s="65">
      <c r="A109" s="90" t="n">
        <v>1108</v>
      </c>
      <c r="B109" s="90" t="inlineStr">
        <is>
          <t>Jun</t>
        </is>
      </c>
      <c r="C109" s="90" t="inlineStr">
        <is>
          <t>Q2</t>
        </is>
      </c>
      <c r="D109" s="91" t="inlineStr">
        <is>
          <t>Earphones</t>
        </is>
      </c>
      <c r="E109" s="91" t="inlineStr">
        <is>
          <t>Electronics</t>
        </is>
      </c>
      <c r="F109" s="91" t="inlineStr">
        <is>
          <t>South</t>
        </is>
      </c>
      <c r="G109" s="91" t="inlineStr">
        <is>
          <t>Kavita Joshi</t>
        </is>
      </c>
      <c r="H109" s="90" t="n">
        <v>5</v>
      </c>
      <c r="I109" s="92" t="n">
        <v>3500</v>
      </c>
      <c r="J109" s="92" t="n">
        <v>17500</v>
      </c>
      <c r="K109" s="92" t="n">
        <v>9625</v>
      </c>
      <c r="L109" s="92" t="n">
        <v>7875</v>
      </c>
      <c r="M109" s="93" t="n">
        <v>45</v>
      </c>
    </row>
    <row r="110" ht="15" customHeight="1" s="65">
      <c r="A110" s="86" t="n">
        <v>1109</v>
      </c>
      <c r="B110" s="86" t="inlineStr">
        <is>
          <t>Jun</t>
        </is>
      </c>
      <c r="C110" s="86" t="inlineStr">
        <is>
          <t>Q2</t>
        </is>
      </c>
      <c r="D110" s="87" t="inlineStr">
        <is>
          <t>Tablet</t>
        </is>
      </c>
      <c r="E110" s="87" t="inlineStr">
        <is>
          <t>Electronics</t>
        </is>
      </c>
      <c r="F110" s="87" t="inlineStr">
        <is>
          <t>South</t>
        </is>
      </c>
      <c r="G110" s="87" t="inlineStr">
        <is>
          <t>Amit Kumar</t>
        </is>
      </c>
      <c r="H110" s="86" t="n">
        <v>4</v>
      </c>
      <c r="I110" s="88" t="n">
        <v>25000</v>
      </c>
      <c r="J110" s="88" t="n">
        <v>100000</v>
      </c>
      <c r="K110" s="88" t="n">
        <v>63633</v>
      </c>
      <c r="L110" s="88" t="n">
        <v>36367</v>
      </c>
      <c r="M110" s="89" t="n">
        <v>36.37</v>
      </c>
    </row>
    <row r="111" ht="15" customHeight="1" s="65">
      <c r="A111" s="90" t="n">
        <v>1110</v>
      </c>
      <c r="B111" s="90" t="inlineStr">
        <is>
          <t>Jun</t>
        </is>
      </c>
      <c r="C111" s="90" t="inlineStr">
        <is>
          <t>Q2</t>
        </is>
      </c>
      <c r="D111" s="91" t="inlineStr">
        <is>
          <t>Laptop</t>
        </is>
      </c>
      <c r="E111" s="91" t="inlineStr">
        <is>
          <t>Electronics</t>
        </is>
      </c>
      <c r="F111" s="91" t="inlineStr">
        <is>
          <t>South</t>
        </is>
      </c>
      <c r="G111" s="91" t="inlineStr">
        <is>
          <t>Neha Gupta</t>
        </is>
      </c>
      <c r="H111" s="90" t="n">
        <v>10</v>
      </c>
      <c r="I111" s="92" t="n">
        <v>55000</v>
      </c>
      <c r="J111" s="92" t="n">
        <v>550000</v>
      </c>
      <c r="K111" s="92" t="n">
        <v>374706</v>
      </c>
      <c r="L111" s="92" t="n">
        <v>175294</v>
      </c>
      <c r="M111" s="93" t="n">
        <v>31.87</v>
      </c>
    </row>
    <row r="112" ht="15" customHeight="1" s="65">
      <c r="A112" s="86" t="n">
        <v>1111</v>
      </c>
      <c r="B112" s="86" t="inlineStr">
        <is>
          <t>Jun</t>
        </is>
      </c>
      <c r="C112" s="86" t="inlineStr">
        <is>
          <t>Q2</t>
        </is>
      </c>
      <c r="D112" s="87" t="inlineStr">
        <is>
          <t>Mobile</t>
        </is>
      </c>
      <c r="E112" s="87" t="inlineStr">
        <is>
          <t>Electronics</t>
        </is>
      </c>
      <c r="F112" s="87" t="inlineStr">
        <is>
          <t>South</t>
        </is>
      </c>
      <c r="G112" s="87" t="inlineStr">
        <is>
          <t>Amit Kumar</t>
        </is>
      </c>
      <c r="H112" s="86" t="n">
        <v>10</v>
      </c>
      <c r="I112" s="88" t="n">
        <v>18000</v>
      </c>
      <c r="J112" s="88" t="n">
        <v>180000</v>
      </c>
      <c r="K112" s="88" t="n">
        <v>104405</v>
      </c>
      <c r="L112" s="88" t="n">
        <v>75595</v>
      </c>
      <c r="M112" s="89" t="n">
        <v>42</v>
      </c>
    </row>
    <row r="113" ht="15" customHeight="1" s="65">
      <c r="A113" s="90" t="n">
        <v>1112</v>
      </c>
      <c r="B113" s="90" t="inlineStr">
        <is>
          <t>Jul</t>
        </is>
      </c>
      <c r="C113" s="90" t="inlineStr">
        <is>
          <t>Q3</t>
        </is>
      </c>
      <c r="D113" s="91" t="inlineStr">
        <is>
          <t>Earphones</t>
        </is>
      </c>
      <c r="E113" s="91" t="inlineStr">
        <is>
          <t>Electronics</t>
        </is>
      </c>
      <c r="F113" s="91" t="inlineStr">
        <is>
          <t>East</t>
        </is>
      </c>
      <c r="G113" s="91" t="inlineStr">
        <is>
          <t>Priya Singh</t>
        </is>
      </c>
      <c r="H113" s="90" t="n">
        <v>1</v>
      </c>
      <c r="I113" s="92" t="n">
        <v>3500</v>
      </c>
      <c r="J113" s="92" t="n">
        <v>3500</v>
      </c>
      <c r="K113" s="92" t="n">
        <v>1903</v>
      </c>
      <c r="L113" s="92" t="n">
        <v>1597</v>
      </c>
      <c r="M113" s="93" t="n">
        <v>45.63</v>
      </c>
    </row>
    <row r="114" ht="15" customHeight="1" s="65">
      <c r="A114" s="86" t="n">
        <v>1113</v>
      </c>
      <c r="B114" s="86" t="inlineStr">
        <is>
          <t>Jul</t>
        </is>
      </c>
      <c r="C114" s="86" t="inlineStr">
        <is>
          <t>Q3</t>
        </is>
      </c>
      <c r="D114" s="87" t="inlineStr">
        <is>
          <t>Mobile</t>
        </is>
      </c>
      <c r="E114" s="87" t="inlineStr">
        <is>
          <t>Electronics</t>
        </is>
      </c>
      <c r="F114" s="87" t="inlineStr">
        <is>
          <t>North</t>
        </is>
      </c>
      <c r="G114" s="87" t="inlineStr">
        <is>
          <t>Rahul Sharma</t>
        </is>
      </c>
      <c r="H114" s="86" t="n">
        <v>3</v>
      </c>
      <c r="I114" s="88" t="n">
        <v>18000</v>
      </c>
      <c r="J114" s="88" t="n">
        <v>54000</v>
      </c>
      <c r="K114" s="88" t="n">
        <v>35076</v>
      </c>
      <c r="L114" s="88" t="n">
        <v>18924</v>
      </c>
      <c r="M114" s="89" t="n">
        <v>35.04</v>
      </c>
    </row>
    <row r="115" ht="15" customHeight="1" s="65">
      <c r="A115" s="90" t="n">
        <v>1114</v>
      </c>
      <c r="B115" s="90" t="inlineStr">
        <is>
          <t>Jul</t>
        </is>
      </c>
      <c r="C115" s="90" t="inlineStr">
        <is>
          <t>Q3</t>
        </is>
      </c>
      <c r="D115" s="91" t="inlineStr">
        <is>
          <t>Laptop</t>
        </is>
      </c>
      <c r="E115" s="91" t="inlineStr">
        <is>
          <t>Electronics</t>
        </is>
      </c>
      <c r="F115" s="91" t="inlineStr">
        <is>
          <t>North</t>
        </is>
      </c>
      <c r="G115" s="91" t="inlineStr">
        <is>
          <t>Sneha Patel</t>
        </is>
      </c>
      <c r="H115" s="90" t="n">
        <v>1</v>
      </c>
      <c r="I115" s="92" t="n">
        <v>55000</v>
      </c>
      <c r="J115" s="92" t="n">
        <v>55000</v>
      </c>
      <c r="K115" s="92" t="n">
        <v>35845</v>
      </c>
      <c r="L115" s="92" t="n">
        <v>19155</v>
      </c>
      <c r="M115" s="93" t="n">
        <v>34.83</v>
      </c>
    </row>
    <row r="116" ht="15" customHeight="1" s="65">
      <c r="A116" s="86" t="n">
        <v>1115</v>
      </c>
      <c r="B116" s="86" t="inlineStr">
        <is>
          <t>Jul</t>
        </is>
      </c>
      <c r="C116" s="86" t="inlineStr">
        <is>
          <t>Q3</t>
        </is>
      </c>
      <c r="D116" s="87" t="inlineStr">
        <is>
          <t>Mobile</t>
        </is>
      </c>
      <c r="E116" s="87" t="inlineStr">
        <is>
          <t>Electronics</t>
        </is>
      </c>
      <c r="F116" s="87" t="inlineStr">
        <is>
          <t>South</t>
        </is>
      </c>
      <c r="G116" s="87" t="inlineStr">
        <is>
          <t>Sneha Patel</t>
        </is>
      </c>
      <c r="H116" s="86" t="n">
        <v>1</v>
      </c>
      <c r="I116" s="88" t="n">
        <v>18000</v>
      </c>
      <c r="J116" s="88" t="n">
        <v>18000</v>
      </c>
      <c r="K116" s="88" t="n">
        <v>11328</v>
      </c>
      <c r="L116" s="88" t="n">
        <v>6672</v>
      </c>
      <c r="M116" s="89" t="n">
        <v>37.07</v>
      </c>
    </row>
    <row r="117" ht="15" customHeight="1" s="65">
      <c r="A117" s="90" t="n">
        <v>1116</v>
      </c>
      <c r="B117" s="90" t="inlineStr">
        <is>
          <t>Jul</t>
        </is>
      </c>
      <c r="C117" s="90" t="inlineStr">
        <is>
          <t>Q3</t>
        </is>
      </c>
      <c r="D117" s="91" t="inlineStr">
        <is>
          <t>Mobile</t>
        </is>
      </c>
      <c r="E117" s="91" t="inlineStr">
        <is>
          <t>Electronics</t>
        </is>
      </c>
      <c r="F117" s="91" t="inlineStr">
        <is>
          <t>West</t>
        </is>
      </c>
      <c r="G117" s="91" t="inlineStr">
        <is>
          <t>Sneha Patel</t>
        </is>
      </c>
      <c r="H117" s="90" t="n">
        <v>4</v>
      </c>
      <c r="I117" s="92" t="n">
        <v>18000</v>
      </c>
      <c r="J117" s="92" t="n">
        <v>72000</v>
      </c>
      <c r="K117" s="92" t="n">
        <v>44090</v>
      </c>
      <c r="L117" s="92" t="n">
        <v>27910</v>
      </c>
      <c r="M117" s="93" t="n">
        <v>38.76</v>
      </c>
    </row>
    <row r="118" ht="15" customHeight="1" s="65">
      <c r="A118" s="86" t="n">
        <v>1117</v>
      </c>
      <c r="B118" s="86" t="inlineStr">
        <is>
          <t>Jul</t>
        </is>
      </c>
      <c r="C118" s="86" t="inlineStr">
        <is>
          <t>Q3</t>
        </is>
      </c>
      <c r="D118" s="87" t="inlineStr">
        <is>
          <t>Tablet</t>
        </is>
      </c>
      <c r="E118" s="87" t="inlineStr">
        <is>
          <t>Electronics</t>
        </is>
      </c>
      <c r="F118" s="87" t="inlineStr">
        <is>
          <t>South</t>
        </is>
      </c>
      <c r="G118" s="87" t="inlineStr">
        <is>
          <t>Vikas Rao</t>
        </is>
      </c>
      <c r="H118" s="86" t="n">
        <v>6</v>
      </c>
      <c r="I118" s="88" t="n">
        <v>25000</v>
      </c>
      <c r="J118" s="88" t="n">
        <v>150000</v>
      </c>
      <c r="K118" s="88" t="n">
        <v>98007</v>
      </c>
      <c r="L118" s="88" t="n">
        <v>51993</v>
      </c>
      <c r="M118" s="89" t="n">
        <v>34.66</v>
      </c>
    </row>
    <row r="119" ht="15" customHeight="1" s="65">
      <c r="A119" s="90" t="n">
        <v>1118</v>
      </c>
      <c r="B119" s="90" t="inlineStr">
        <is>
          <t>Jul</t>
        </is>
      </c>
      <c r="C119" s="90" t="inlineStr">
        <is>
          <t>Q3</t>
        </is>
      </c>
      <c r="D119" s="91" t="inlineStr">
        <is>
          <t>Mobile</t>
        </is>
      </c>
      <c r="E119" s="91" t="inlineStr">
        <is>
          <t>Electronics</t>
        </is>
      </c>
      <c r="F119" s="91" t="inlineStr">
        <is>
          <t>South</t>
        </is>
      </c>
      <c r="G119" s="91" t="inlineStr">
        <is>
          <t>Rahul Sharma</t>
        </is>
      </c>
      <c r="H119" s="90" t="n">
        <v>10</v>
      </c>
      <c r="I119" s="92" t="n">
        <v>18000</v>
      </c>
      <c r="J119" s="92" t="n">
        <v>180000</v>
      </c>
      <c r="K119" s="92" t="n">
        <v>109081</v>
      </c>
      <c r="L119" s="92" t="n">
        <v>70919</v>
      </c>
      <c r="M119" s="93" t="n">
        <v>39.4</v>
      </c>
    </row>
    <row r="120" ht="15" customHeight="1" s="65">
      <c r="A120" s="86" t="n">
        <v>1119</v>
      </c>
      <c r="B120" s="86" t="inlineStr">
        <is>
          <t>Jul</t>
        </is>
      </c>
      <c r="C120" s="86" t="inlineStr">
        <is>
          <t>Q3</t>
        </is>
      </c>
      <c r="D120" s="87" t="inlineStr">
        <is>
          <t>Smart Watch</t>
        </is>
      </c>
      <c r="E120" s="87" t="inlineStr">
        <is>
          <t>Electronics</t>
        </is>
      </c>
      <c r="F120" s="87" t="inlineStr">
        <is>
          <t>West</t>
        </is>
      </c>
      <c r="G120" s="87" t="inlineStr">
        <is>
          <t>Sneha Patel</t>
        </is>
      </c>
      <c r="H120" s="86" t="n">
        <v>3</v>
      </c>
      <c r="I120" s="88" t="n">
        <v>12000</v>
      </c>
      <c r="J120" s="88" t="n">
        <v>36000</v>
      </c>
      <c r="K120" s="88" t="n">
        <v>22496</v>
      </c>
      <c r="L120" s="88" t="n">
        <v>13504</v>
      </c>
      <c r="M120" s="89" t="n">
        <v>37.51</v>
      </c>
    </row>
    <row r="121" ht="15" customHeight="1" s="65">
      <c r="A121" s="90" t="n">
        <v>1120</v>
      </c>
      <c r="B121" s="90" t="inlineStr">
        <is>
          <t>Jul</t>
        </is>
      </c>
      <c r="C121" s="90" t="inlineStr">
        <is>
          <t>Q3</t>
        </is>
      </c>
      <c r="D121" s="91" t="inlineStr">
        <is>
          <t>Tablet</t>
        </is>
      </c>
      <c r="E121" s="91" t="inlineStr">
        <is>
          <t>Electronics</t>
        </is>
      </c>
      <c r="F121" s="91" t="inlineStr">
        <is>
          <t>East</t>
        </is>
      </c>
      <c r="G121" s="91" t="inlineStr">
        <is>
          <t>Kavita Joshi</t>
        </is>
      </c>
      <c r="H121" s="90" t="n">
        <v>2</v>
      </c>
      <c r="I121" s="92" t="n">
        <v>25000</v>
      </c>
      <c r="J121" s="92" t="n">
        <v>50000</v>
      </c>
      <c r="K121" s="92" t="n">
        <v>32915</v>
      </c>
      <c r="L121" s="92" t="n">
        <v>17085</v>
      </c>
      <c r="M121" s="93" t="n">
        <v>34.17</v>
      </c>
    </row>
    <row r="122" ht="15" customHeight="1" s="65">
      <c r="A122" s="86" t="n">
        <v>1121</v>
      </c>
      <c r="B122" s="86" t="inlineStr">
        <is>
          <t>Jul</t>
        </is>
      </c>
      <c r="C122" s="86" t="inlineStr">
        <is>
          <t>Q3</t>
        </is>
      </c>
      <c r="D122" s="87" t="inlineStr">
        <is>
          <t>Tablet</t>
        </is>
      </c>
      <c r="E122" s="87" t="inlineStr">
        <is>
          <t>Electronics</t>
        </is>
      </c>
      <c r="F122" s="87" t="inlineStr">
        <is>
          <t>East</t>
        </is>
      </c>
      <c r="G122" s="87" t="inlineStr">
        <is>
          <t>Vikas Rao</t>
        </is>
      </c>
      <c r="H122" s="86" t="n">
        <v>1</v>
      </c>
      <c r="I122" s="88" t="n">
        <v>25000</v>
      </c>
      <c r="J122" s="88" t="n">
        <v>25000</v>
      </c>
      <c r="K122" s="88" t="n">
        <v>15283</v>
      </c>
      <c r="L122" s="88" t="n">
        <v>9717</v>
      </c>
      <c r="M122" s="89" t="n">
        <v>38.87</v>
      </c>
    </row>
    <row r="123" ht="15" customHeight="1" s="65">
      <c r="A123" s="90" t="n">
        <v>1122</v>
      </c>
      <c r="B123" s="90" t="inlineStr">
        <is>
          <t>Jul</t>
        </is>
      </c>
      <c r="C123" s="90" t="inlineStr">
        <is>
          <t>Q3</t>
        </is>
      </c>
      <c r="D123" s="91" t="inlineStr">
        <is>
          <t>Tablet</t>
        </is>
      </c>
      <c r="E123" s="91" t="inlineStr">
        <is>
          <t>Electronics</t>
        </is>
      </c>
      <c r="F123" s="91" t="inlineStr">
        <is>
          <t>North</t>
        </is>
      </c>
      <c r="G123" s="91" t="inlineStr">
        <is>
          <t>Rohit Verma</t>
        </is>
      </c>
      <c r="H123" s="90" t="n">
        <v>1</v>
      </c>
      <c r="I123" s="92" t="n">
        <v>25000</v>
      </c>
      <c r="J123" s="92" t="n">
        <v>25000</v>
      </c>
      <c r="K123" s="92" t="n">
        <v>15387</v>
      </c>
      <c r="L123" s="92" t="n">
        <v>9613</v>
      </c>
      <c r="M123" s="93" t="n">
        <v>38.45</v>
      </c>
    </row>
    <row r="124" ht="15" customHeight="1" s="65">
      <c r="A124" s="86" t="n">
        <v>1123</v>
      </c>
      <c r="B124" s="86" t="inlineStr">
        <is>
          <t>Jul</t>
        </is>
      </c>
      <c r="C124" s="86" t="inlineStr">
        <is>
          <t>Q3</t>
        </is>
      </c>
      <c r="D124" s="87" t="inlineStr">
        <is>
          <t>Mobile</t>
        </is>
      </c>
      <c r="E124" s="87" t="inlineStr">
        <is>
          <t>Electronics</t>
        </is>
      </c>
      <c r="F124" s="87" t="inlineStr">
        <is>
          <t>East</t>
        </is>
      </c>
      <c r="G124" s="87" t="inlineStr">
        <is>
          <t>Vikas Rao</t>
        </is>
      </c>
      <c r="H124" s="86" t="n">
        <v>4</v>
      </c>
      <c r="I124" s="88" t="n">
        <v>18000</v>
      </c>
      <c r="J124" s="88" t="n">
        <v>72000</v>
      </c>
      <c r="K124" s="88" t="n">
        <v>42756</v>
      </c>
      <c r="L124" s="88" t="n">
        <v>29244</v>
      </c>
      <c r="M124" s="89" t="n">
        <v>40.62</v>
      </c>
    </row>
    <row r="125" ht="15" customHeight="1" s="65">
      <c r="A125" s="90" t="n">
        <v>1124</v>
      </c>
      <c r="B125" s="90" t="inlineStr">
        <is>
          <t>Jul</t>
        </is>
      </c>
      <c r="C125" s="90" t="inlineStr">
        <is>
          <t>Q3</t>
        </is>
      </c>
      <c r="D125" s="91" t="inlineStr">
        <is>
          <t>Mobile</t>
        </is>
      </c>
      <c r="E125" s="91" t="inlineStr">
        <is>
          <t>Electronics</t>
        </is>
      </c>
      <c r="F125" s="91" t="inlineStr">
        <is>
          <t>West</t>
        </is>
      </c>
      <c r="G125" s="91" t="inlineStr">
        <is>
          <t>Priya Singh</t>
        </is>
      </c>
      <c r="H125" s="90" t="n">
        <v>10</v>
      </c>
      <c r="I125" s="92" t="n">
        <v>18000</v>
      </c>
      <c r="J125" s="92" t="n">
        <v>180000</v>
      </c>
      <c r="K125" s="92" t="n">
        <v>112308</v>
      </c>
      <c r="L125" s="92" t="n">
        <v>67692</v>
      </c>
      <c r="M125" s="93" t="n">
        <v>37.61</v>
      </c>
    </row>
    <row r="126" ht="15" customHeight="1" s="65">
      <c r="A126" s="86" t="n">
        <v>1125</v>
      </c>
      <c r="B126" s="86" t="inlineStr">
        <is>
          <t>Jul</t>
        </is>
      </c>
      <c r="C126" s="86" t="inlineStr">
        <is>
          <t>Q3</t>
        </is>
      </c>
      <c r="D126" s="87" t="inlineStr">
        <is>
          <t>Laptop</t>
        </is>
      </c>
      <c r="E126" s="87" t="inlineStr">
        <is>
          <t>Electronics</t>
        </is>
      </c>
      <c r="F126" s="87" t="inlineStr">
        <is>
          <t>West</t>
        </is>
      </c>
      <c r="G126" s="87" t="inlineStr">
        <is>
          <t>Rohit Verma</t>
        </is>
      </c>
      <c r="H126" s="86" t="n">
        <v>3</v>
      </c>
      <c r="I126" s="88" t="n">
        <v>55000</v>
      </c>
      <c r="J126" s="88" t="n">
        <v>165000</v>
      </c>
      <c r="K126" s="88" t="n">
        <v>113991</v>
      </c>
      <c r="L126" s="88" t="n">
        <v>51009</v>
      </c>
      <c r="M126" s="89" t="n">
        <v>30.91</v>
      </c>
    </row>
    <row r="127" ht="15" customHeight="1" s="65">
      <c r="A127" s="90" t="n">
        <v>1126</v>
      </c>
      <c r="B127" s="90" t="inlineStr">
        <is>
          <t>Jul</t>
        </is>
      </c>
      <c r="C127" s="90" t="inlineStr">
        <is>
          <t>Q3</t>
        </is>
      </c>
      <c r="D127" s="91" t="inlineStr">
        <is>
          <t>Laptop</t>
        </is>
      </c>
      <c r="E127" s="91" t="inlineStr">
        <is>
          <t>Electronics</t>
        </is>
      </c>
      <c r="F127" s="91" t="inlineStr">
        <is>
          <t>East</t>
        </is>
      </c>
      <c r="G127" s="91" t="inlineStr">
        <is>
          <t>Kavita Joshi</t>
        </is>
      </c>
      <c r="H127" s="90" t="n">
        <v>5</v>
      </c>
      <c r="I127" s="92" t="n">
        <v>55000</v>
      </c>
      <c r="J127" s="92" t="n">
        <v>275000</v>
      </c>
      <c r="K127" s="92" t="n">
        <v>185432</v>
      </c>
      <c r="L127" s="92" t="n">
        <v>89568</v>
      </c>
      <c r="M127" s="93" t="n">
        <v>32.57</v>
      </c>
    </row>
    <row r="128" ht="15" customHeight="1" s="65">
      <c r="A128" s="86" t="n">
        <v>1127</v>
      </c>
      <c r="B128" s="86" t="inlineStr">
        <is>
          <t>Jul</t>
        </is>
      </c>
      <c r="C128" s="86" t="inlineStr">
        <is>
          <t>Q3</t>
        </is>
      </c>
      <c r="D128" s="87" t="inlineStr">
        <is>
          <t>Tablet</t>
        </is>
      </c>
      <c r="E128" s="87" t="inlineStr">
        <is>
          <t>Electronics</t>
        </is>
      </c>
      <c r="F128" s="87" t="inlineStr">
        <is>
          <t>South</t>
        </is>
      </c>
      <c r="G128" s="87" t="inlineStr">
        <is>
          <t>Rohit Verma</t>
        </is>
      </c>
      <c r="H128" s="86" t="n">
        <v>4</v>
      </c>
      <c r="I128" s="88" t="n">
        <v>25000</v>
      </c>
      <c r="J128" s="88" t="n">
        <v>100000</v>
      </c>
      <c r="K128" s="88" t="n">
        <v>61841</v>
      </c>
      <c r="L128" s="88" t="n">
        <v>38159</v>
      </c>
      <c r="M128" s="89" t="n">
        <v>38.16</v>
      </c>
    </row>
    <row r="129" ht="15" customHeight="1" s="65">
      <c r="A129" s="90" t="n">
        <v>1128</v>
      </c>
      <c r="B129" s="90" t="inlineStr">
        <is>
          <t>Jul</t>
        </is>
      </c>
      <c r="C129" s="90" t="inlineStr">
        <is>
          <t>Q3</t>
        </is>
      </c>
      <c r="D129" s="91" t="inlineStr">
        <is>
          <t>Mobile</t>
        </is>
      </c>
      <c r="E129" s="91" t="inlineStr">
        <is>
          <t>Electronics</t>
        </is>
      </c>
      <c r="F129" s="91" t="inlineStr">
        <is>
          <t>West</t>
        </is>
      </c>
      <c r="G129" s="91" t="inlineStr">
        <is>
          <t>Amit Kumar</t>
        </is>
      </c>
      <c r="H129" s="90" t="n">
        <v>1</v>
      </c>
      <c r="I129" s="92" t="n">
        <v>18000</v>
      </c>
      <c r="J129" s="92" t="n">
        <v>18000</v>
      </c>
      <c r="K129" s="92" t="n">
        <v>10817</v>
      </c>
      <c r="L129" s="92" t="n">
        <v>7183</v>
      </c>
      <c r="M129" s="93" t="n">
        <v>39.91</v>
      </c>
    </row>
    <row r="130" ht="15" customHeight="1" s="65">
      <c r="A130" s="86" t="n">
        <v>1129</v>
      </c>
      <c r="B130" s="86" t="inlineStr">
        <is>
          <t>Jul</t>
        </is>
      </c>
      <c r="C130" s="86" t="inlineStr">
        <is>
          <t>Q3</t>
        </is>
      </c>
      <c r="D130" s="87" t="inlineStr">
        <is>
          <t>Laptop</t>
        </is>
      </c>
      <c r="E130" s="87" t="inlineStr">
        <is>
          <t>Electronics</t>
        </is>
      </c>
      <c r="F130" s="87" t="inlineStr">
        <is>
          <t>North</t>
        </is>
      </c>
      <c r="G130" s="87" t="inlineStr">
        <is>
          <t>Rohit Verma</t>
        </is>
      </c>
      <c r="H130" s="86" t="n">
        <v>5</v>
      </c>
      <c r="I130" s="88" t="n">
        <v>55000</v>
      </c>
      <c r="J130" s="88" t="n">
        <v>275000</v>
      </c>
      <c r="K130" s="88" t="n">
        <v>189055</v>
      </c>
      <c r="L130" s="88" t="n">
        <v>85945</v>
      </c>
      <c r="M130" s="89" t="n">
        <v>31.25</v>
      </c>
    </row>
    <row r="131" ht="15" customHeight="1" s="65">
      <c r="A131" s="90" t="n">
        <v>1130</v>
      </c>
      <c r="B131" s="90" t="inlineStr">
        <is>
          <t>Aug</t>
        </is>
      </c>
      <c r="C131" s="90" t="inlineStr">
        <is>
          <t>Q3</t>
        </is>
      </c>
      <c r="D131" s="91" t="inlineStr">
        <is>
          <t>Tablet</t>
        </is>
      </c>
      <c r="E131" s="91" t="inlineStr">
        <is>
          <t>Electronics</t>
        </is>
      </c>
      <c r="F131" s="91" t="inlineStr">
        <is>
          <t>East</t>
        </is>
      </c>
      <c r="G131" s="91" t="inlineStr">
        <is>
          <t>Vikas Rao</t>
        </is>
      </c>
      <c r="H131" s="90" t="n">
        <v>3</v>
      </c>
      <c r="I131" s="92" t="n">
        <v>25000</v>
      </c>
      <c r="J131" s="92" t="n">
        <v>75000</v>
      </c>
      <c r="K131" s="92" t="n">
        <v>48197</v>
      </c>
      <c r="L131" s="92" t="n">
        <v>26803</v>
      </c>
      <c r="M131" s="93" t="n">
        <v>35.74</v>
      </c>
    </row>
    <row r="132" ht="15" customHeight="1" s="65">
      <c r="A132" s="86" t="n">
        <v>1131</v>
      </c>
      <c r="B132" s="86" t="inlineStr">
        <is>
          <t>Aug</t>
        </is>
      </c>
      <c r="C132" s="86" t="inlineStr">
        <is>
          <t>Q3</t>
        </is>
      </c>
      <c r="D132" s="87" t="inlineStr">
        <is>
          <t>Laptop</t>
        </is>
      </c>
      <c r="E132" s="87" t="inlineStr">
        <is>
          <t>Electronics</t>
        </is>
      </c>
      <c r="F132" s="87" t="inlineStr">
        <is>
          <t>East</t>
        </is>
      </c>
      <c r="G132" s="87" t="inlineStr">
        <is>
          <t>Amit Kumar</t>
        </is>
      </c>
      <c r="H132" s="86" t="n">
        <v>3</v>
      </c>
      <c r="I132" s="88" t="n">
        <v>55000</v>
      </c>
      <c r="J132" s="88" t="n">
        <v>165000</v>
      </c>
      <c r="K132" s="88" t="n">
        <v>118405</v>
      </c>
      <c r="L132" s="88" t="n">
        <v>46595</v>
      </c>
      <c r="M132" s="89" t="n">
        <v>28.24</v>
      </c>
    </row>
    <row r="133" ht="15" customHeight="1" s="65">
      <c r="A133" s="90" t="n">
        <v>1132</v>
      </c>
      <c r="B133" s="90" t="inlineStr">
        <is>
          <t>Aug</t>
        </is>
      </c>
      <c r="C133" s="90" t="inlineStr">
        <is>
          <t>Q3</t>
        </is>
      </c>
      <c r="D133" s="91" t="inlineStr">
        <is>
          <t>Earphones</t>
        </is>
      </c>
      <c r="E133" s="91" t="inlineStr">
        <is>
          <t>Electronics</t>
        </is>
      </c>
      <c r="F133" s="91" t="inlineStr">
        <is>
          <t>West</t>
        </is>
      </c>
      <c r="G133" s="91" t="inlineStr">
        <is>
          <t>Rahul Sharma</t>
        </is>
      </c>
      <c r="H133" s="90" t="n">
        <v>8</v>
      </c>
      <c r="I133" s="92" t="n">
        <v>3500</v>
      </c>
      <c r="J133" s="92" t="n">
        <v>28000</v>
      </c>
      <c r="K133" s="92" t="n">
        <v>15418</v>
      </c>
      <c r="L133" s="92" t="n">
        <v>12582</v>
      </c>
      <c r="M133" s="93" t="n">
        <v>44.94</v>
      </c>
    </row>
    <row r="134" ht="15" customHeight="1" s="65">
      <c r="A134" s="86" t="n">
        <v>1133</v>
      </c>
      <c r="B134" s="86" t="inlineStr">
        <is>
          <t>Aug</t>
        </is>
      </c>
      <c r="C134" s="86" t="inlineStr">
        <is>
          <t>Q3</t>
        </is>
      </c>
      <c r="D134" s="87" t="inlineStr">
        <is>
          <t>Mobile</t>
        </is>
      </c>
      <c r="E134" s="87" t="inlineStr">
        <is>
          <t>Electronics</t>
        </is>
      </c>
      <c r="F134" s="87" t="inlineStr">
        <is>
          <t>North</t>
        </is>
      </c>
      <c r="G134" s="87" t="inlineStr">
        <is>
          <t>Amit Kumar</t>
        </is>
      </c>
      <c r="H134" s="86" t="n">
        <v>4</v>
      </c>
      <c r="I134" s="88" t="n">
        <v>18000</v>
      </c>
      <c r="J134" s="88" t="n">
        <v>72000</v>
      </c>
      <c r="K134" s="88" t="n">
        <v>43507</v>
      </c>
      <c r="L134" s="88" t="n">
        <v>28493</v>
      </c>
      <c r="M134" s="89" t="n">
        <v>39.57</v>
      </c>
    </row>
    <row r="135" ht="15" customHeight="1" s="65">
      <c r="A135" s="90" t="n">
        <v>1134</v>
      </c>
      <c r="B135" s="90" t="inlineStr">
        <is>
          <t>Aug</t>
        </is>
      </c>
      <c r="C135" s="90" t="inlineStr">
        <is>
          <t>Q3</t>
        </is>
      </c>
      <c r="D135" s="91" t="inlineStr">
        <is>
          <t>Earphones</t>
        </is>
      </c>
      <c r="E135" s="91" t="inlineStr">
        <is>
          <t>Electronics</t>
        </is>
      </c>
      <c r="F135" s="91" t="inlineStr">
        <is>
          <t>North</t>
        </is>
      </c>
      <c r="G135" s="91" t="inlineStr">
        <is>
          <t>Neha Gupta</t>
        </is>
      </c>
      <c r="H135" s="90" t="n">
        <v>1</v>
      </c>
      <c r="I135" s="92" t="n">
        <v>3500</v>
      </c>
      <c r="J135" s="92" t="n">
        <v>3500</v>
      </c>
      <c r="K135" s="92" t="n">
        <v>2036</v>
      </c>
      <c r="L135" s="92" t="n">
        <v>1464</v>
      </c>
      <c r="M135" s="93" t="n">
        <v>41.83</v>
      </c>
    </row>
    <row r="136" ht="15" customHeight="1" s="65">
      <c r="A136" s="86" t="n">
        <v>1135</v>
      </c>
      <c r="B136" s="86" t="inlineStr">
        <is>
          <t>Aug</t>
        </is>
      </c>
      <c r="C136" s="86" t="inlineStr">
        <is>
          <t>Q3</t>
        </is>
      </c>
      <c r="D136" s="87" t="inlineStr">
        <is>
          <t>Mobile</t>
        </is>
      </c>
      <c r="E136" s="87" t="inlineStr">
        <is>
          <t>Electronics</t>
        </is>
      </c>
      <c r="F136" s="87" t="inlineStr">
        <is>
          <t>East</t>
        </is>
      </c>
      <c r="G136" s="87" t="inlineStr">
        <is>
          <t>Kavita Joshi</t>
        </is>
      </c>
      <c r="H136" s="86" t="n">
        <v>3</v>
      </c>
      <c r="I136" s="88" t="n">
        <v>18000</v>
      </c>
      <c r="J136" s="88" t="n">
        <v>54000</v>
      </c>
      <c r="K136" s="88" t="n">
        <v>32364</v>
      </c>
      <c r="L136" s="88" t="n">
        <v>21636</v>
      </c>
      <c r="M136" s="89" t="n">
        <v>40.07</v>
      </c>
    </row>
    <row r="137" ht="15" customHeight="1" s="65">
      <c r="A137" s="90" t="n">
        <v>1136</v>
      </c>
      <c r="B137" s="90" t="inlineStr">
        <is>
          <t>Aug</t>
        </is>
      </c>
      <c r="C137" s="90" t="inlineStr">
        <is>
          <t>Q3</t>
        </is>
      </c>
      <c r="D137" s="91" t="inlineStr">
        <is>
          <t>Tablet</t>
        </is>
      </c>
      <c r="E137" s="91" t="inlineStr">
        <is>
          <t>Electronics</t>
        </is>
      </c>
      <c r="F137" s="91" t="inlineStr">
        <is>
          <t>North</t>
        </is>
      </c>
      <c r="G137" s="91" t="inlineStr">
        <is>
          <t>Kavita Joshi</t>
        </is>
      </c>
      <c r="H137" s="90" t="n">
        <v>1</v>
      </c>
      <c r="I137" s="92" t="n">
        <v>25000</v>
      </c>
      <c r="J137" s="92" t="n">
        <v>25000</v>
      </c>
      <c r="K137" s="92" t="n">
        <v>17097</v>
      </c>
      <c r="L137" s="92" t="n">
        <v>7903</v>
      </c>
      <c r="M137" s="93" t="n">
        <v>31.61</v>
      </c>
    </row>
    <row r="138" ht="15" customHeight="1" s="65">
      <c r="A138" s="86" t="n">
        <v>1137</v>
      </c>
      <c r="B138" s="86" t="inlineStr">
        <is>
          <t>Aug</t>
        </is>
      </c>
      <c r="C138" s="86" t="inlineStr">
        <is>
          <t>Q3</t>
        </is>
      </c>
      <c r="D138" s="87" t="inlineStr">
        <is>
          <t>Tablet</t>
        </is>
      </c>
      <c r="E138" s="87" t="inlineStr">
        <is>
          <t>Electronics</t>
        </is>
      </c>
      <c r="F138" s="87" t="inlineStr">
        <is>
          <t>North</t>
        </is>
      </c>
      <c r="G138" s="87" t="inlineStr">
        <is>
          <t>Neha Gupta</t>
        </is>
      </c>
      <c r="H138" s="86" t="n">
        <v>11</v>
      </c>
      <c r="I138" s="88" t="n">
        <v>25000</v>
      </c>
      <c r="J138" s="88" t="n">
        <v>275000</v>
      </c>
      <c r="K138" s="88" t="n">
        <v>179533</v>
      </c>
      <c r="L138" s="88" t="n">
        <v>95467</v>
      </c>
      <c r="M138" s="89" t="n">
        <v>34.72</v>
      </c>
    </row>
    <row r="139" ht="15" customHeight="1" s="65">
      <c r="A139" s="90" t="n">
        <v>1138</v>
      </c>
      <c r="B139" s="90" t="inlineStr">
        <is>
          <t>Aug</t>
        </is>
      </c>
      <c r="C139" s="90" t="inlineStr">
        <is>
          <t>Q3</t>
        </is>
      </c>
      <c r="D139" s="91" t="inlineStr">
        <is>
          <t>Laptop</t>
        </is>
      </c>
      <c r="E139" s="91" t="inlineStr">
        <is>
          <t>Electronics</t>
        </is>
      </c>
      <c r="F139" s="91" t="inlineStr">
        <is>
          <t>North</t>
        </is>
      </c>
      <c r="G139" s="91" t="inlineStr">
        <is>
          <t>Sneha Patel</t>
        </is>
      </c>
      <c r="H139" s="90" t="n">
        <v>11</v>
      </c>
      <c r="I139" s="92" t="n">
        <v>55000</v>
      </c>
      <c r="J139" s="92" t="n">
        <v>605000</v>
      </c>
      <c r="K139" s="92" t="n">
        <v>422772</v>
      </c>
      <c r="L139" s="92" t="n">
        <v>182228</v>
      </c>
      <c r="M139" s="93" t="n">
        <v>30.12</v>
      </c>
    </row>
    <row r="140" ht="15" customHeight="1" s="65">
      <c r="A140" s="86" t="n">
        <v>1139</v>
      </c>
      <c r="B140" s="86" t="inlineStr">
        <is>
          <t>Aug</t>
        </is>
      </c>
      <c r="C140" s="86" t="inlineStr">
        <is>
          <t>Q3</t>
        </is>
      </c>
      <c r="D140" s="87" t="inlineStr">
        <is>
          <t>Laptop</t>
        </is>
      </c>
      <c r="E140" s="87" t="inlineStr">
        <is>
          <t>Electronics</t>
        </is>
      </c>
      <c r="F140" s="87" t="inlineStr">
        <is>
          <t>North</t>
        </is>
      </c>
      <c r="G140" s="87" t="inlineStr">
        <is>
          <t>Kavita Joshi</t>
        </is>
      </c>
      <c r="H140" s="86" t="n">
        <v>7</v>
      </c>
      <c r="I140" s="88" t="n">
        <v>55000</v>
      </c>
      <c r="J140" s="88" t="n">
        <v>385000</v>
      </c>
      <c r="K140" s="88" t="n">
        <v>265973</v>
      </c>
      <c r="L140" s="88" t="n">
        <v>119027</v>
      </c>
      <c r="M140" s="89" t="n">
        <v>30.92</v>
      </c>
    </row>
    <row r="141" ht="15" customHeight="1" s="65">
      <c r="A141" s="90" t="n">
        <v>1140</v>
      </c>
      <c r="B141" s="90" t="inlineStr">
        <is>
          <t>Aug</t>
        </is>
      </c>
      <c r="C141" s="90" t="inlineStr">
        <is>
          <t>Q3</t>
        </is>
      </c>
      <c r="D141" s="91" t="inlineStr">
        <is>
          <t>Laptop</t>
        </is>
      </c>
      <c r="E141" s="91" t="inlineStr">
        <is>
          <t>Electronics</t>
        </is>
      </c>
      <c r="F141" s="91" t="inlineStr">
        <is>
          <t>East</t>
        </is>
      </c>
      <c r="G141" s="91" t="inlineStr">
        <is>
          <t>Sneha Patel</t>
        </is>
      </c>
      <c r="H141" s="90" t="n">
        <v>2</v>
      </c>
      <c r="I141" s="92" t="n">
        <v>55000</v>
      </c>
      <c r="J141" s="92" t="n">
        <v>110000</v>
      </c>
      <c r="K141" s="92" t="n">
        <v>79070</v>
      </c>
      <c r="L141" s="92" t="n">
        <v>30930</v>
      </c>
      <c r="M141" s="93" t="n">
        <v>28.12</v>
      </c>
    </row>
    <row r="142" ht="15" customHeight="1" s="65">
      <c r="A142" s="86" t="n">
        <v>1141</v>
      </c>
      <c r="B142" s="86" t="inlineStr">
        <is>
          <t>Aug</t>
        </is>
      </c>
      <c r="C142" s="86" t="inlineStr">
        <is>
          <t>Q3</t>
        </is>
      </c>
      <c r="D142" s="87" t="inlineStr">
        <is>
          <t>Mobile</t>
        </is>
      </c>
      <c r="E142" s="87" t="inlineStr">
        <is>
          <t>Electronics</t>
        </is>
      </c>
      <c r="F142" s="87" t="inlineStr">
        <is>
          <t>West</t>
        </is>
      </c>
      <c r="G142" s="87" t="inlineStr">
        <is>
          <t>Kavita Joshi</t>
        </is>
      </c>
      <c r="H142" s="86" t="n">
        <v>4</v>
      </c>
      <c r="I142" s="88" t="n">
        <v>18000</v>
      </c>
      <c r="J142" s="88" t="n">
        <v>72000</v>
      </c>
      <c r="K142" s="88" t="n">
        <v>46566</v>
      </c>
      <c r="L142" s="88" t="n">
        <v>25434</v>
      </c>
      <c r="M142" s="89" t="n">
        <v>35.33</v>
      </c>
    </row>
    <row r="143" ht="15" customHeight="1" s="65">
      <c r="A143" s="90" t="n">
        <v>1142</v>
      </c>
      <c r="B143" s="90" t="inlineStr">
        <is>
          <t>Aug</t>
        </is>
      </c>
      <c r="C143" s="90" t="inlineStr">
        <is>
          <t>Q3</t>
        </is>
      </c>
      <c r="D143" s="91" t="inlineStr">
        <is>
          <t>Laptop</t>
        </is>
      </c>
      <c r="E143" s="91" t="inlineStr">
        <is>
          <t>Electronics</t>
        </is>
      </c>
      <c r="F143" s="91" t="inlineStr">
        <is>
          <t>West</t>
        </is>
      </c>
      <c r="G143" s="91" t="inlineStr">
        <is>
          <t>Rahul Sharma</t>
        </is>
      </c>
      <c r="H143" s="90" t="n">
        <v>4</v>
      </c>
      <c r="I143" s="92" t="n">
        <v>55000</v>
      </c>
      <c r="J143" s="92" t="n">
        <v>220000</v>
      </c>
      <c r="K143" s="92" t="n">
        <v>141795</v>
      </c>
      <c r="L143" s="92" t="n">
        <v>78205</v>
      </c>
      <c r="M143" s="93" t="n">
        <v>35.55</v>
      </c>
    </row>
    <row r="144" ht="15" customHeight="1" s="65">
      <c r="A144" s="86" t="n">
        <v>1143</v>
      </c>
      <c r="B144" s="86" t="inlineStr">
        <is>
          <t>Aug</t>
        </is>
      </c>
      <c r="C144" s="86" t="inlineStr">
        <is>
          <t>Q3</t>
        </is>
      </c>
      <c r="D144" s="87" t="inlineStr">
        <is>
          <t>Laptop</t>
        </is>
      </c>
      <c r="E144" s="87" t="inlineStr">
        <is>
          <t>Electronics</t>
        </is>
      </c>
      <c r="F144" s="87" t="inlineStr">
        <is>
          <t>North</t>
        </is>
      </c>
      <c r="G144" s="87" t="inlineStr">
        <is>
          <t>Rohit Verma</t>
        </is>
      </c>
      <c r="H144" s="86" t="n">
        <v>5</v>
      </c>
      <c r="I144" s="88" t="n">
        <v>55000</v>
      </c>
      <c r="J144" s="88" t="n">
        <v>275000</v>
      </c>
      <c r="K144" s="88" t="n">
        <v>196641</v>
      </c>
      <c r="L144" s="88" t="n">
        <v>78359</v>
      </c>
      <c r="M144" s="89" t="n">
        <v>28.49</v>
      </c>
    </row>
    <row r="145" ht="15" customHeight="1" s="65">
      <c r="A145" s="90" t="n">
        <v>1144</v>
      </c>
      <c r="B145" s="90" t="inlineStr">
        <is>
          <t>Aug</t>
        </is>
      </c>
      <c r="C145" s="90" t="inlineStr">
        <is>
          <t>Q3</t>
        </is>
      </c>
      <c r="D145" s="91" t="inlineStr">
        <is>
          <t>Tablet</t>
        </is>
      </c>
      <c r="E145" s="91" t="inlineStr">
        <is>
          <t>Electronics</t>
        </is>
      </c>
      <c r="F145" s="91" t="inlineStr">
        <is>
          <t>North</t>
        </is>
      </c>
      <c r="G145" s="91" t="inlineStr">
        <is>
          <t>Neha Gupta</t>
        </is>
      </c>
      <c r="H145" s="90" t="n">
        <v>11</v>
      </c>
      <c r="I145" s="92" t="n">
        <v>25000</v>
      </c>
      <c r="J145" s="92" t="n">
        <v>275000</v>
      </c>
      <c r="K145" s="92" t="n">
        <v>187350</v>
      </c>
      <c r="L145" s="92" t="n">
        <v>87650</v>
      </c>
      <c r="M145" s="93" t="n">
        <v>31.87</v>
      </c>
    </row>
    <row r="146" ht="15" customHeight="1" s="65">
      <c r="A146" s="86" t="n">
        <v>1145</v>
      </c>
      <c r="B146" s="86" t="inlineStr">
        <is>
          <t>Aug</t>
        </is>
      </c>
      <c r="C146" s="86" t="inlineStr">
        <is>
          <t>Q3</t>
        </is>
      </c>
      <c r="D146" s="87" t="inlineStr">
        <is>
          <t>Earphones</t>
        </is>
      </c>
      <c r="E146" s="87" t="inlineStr">
        <is>
          <t>Electronics</t>
        </is>
      </c>
      <c r="F146" s="87" t="inlineStr">
        <is>
          <t>North</t>
        </is>
      </c>
      <c r="G146" s="87" t="inlineStr">
        <is>
          <t>Neha Gupta</t>
        </is>
      </c>
      <c r="H146" s="86" t="n">
        <v>9</v>
      </c>
      <c r="I146" s="88" t="n">
        <v>3500</v>
      </c>
      <c r="J146" s="88" t="n">
        <v>31500</v>
      </c>
      <c r="K146" s="88" t="n">
        <v>18140</v>
      </c>
      <c r="L146" s="88" t="n">
        <v>13360</v>
      </c>
      <c r="M146" s="89" t="n">
        <v>42.41</v>
      </c>
    </row>
    <row r="147" ht="15" customHeight="1" s="65">
      <c r="A147" s="90" t="n">
        <v>1146</v>
      </c>
      <c r="B147" s="90" t="inlineStr">
        <is>
          <t>Aug</t>
        </is>
      </c>
      <c r="C147" s="90" t="inlineStr">
        <is>
          <t>Q3</t>
        </is>
      </c>
      <c r="D147" s="91" t="inlineStr">
        <is>
          <t>Tablet</t>
        </is>
      </c>
      <c r="E147" s="91" t="inlineStr">
        <is>
          <t>Electronics</t>
        </is>
      </c>
      <c r="F147" s="91" t="inlineStr">
        <is>
          <t>North</t>
        </is>
      </c>
      <c r="G147" s="91" t="inlineStr">
        <is>
          <t>Rohit Verma</t>
        </is>
      </c>
      <c r="H147" s="90" t="n">
        <v>10</v>
      </c>
      <c r="I147" s="92" t="n">
        <v>25000</v>
      </c>
      <c r="J147" s="92" t="n">
        <v>250000</v>
      </c>
      <c r="K147" s="92" t="n">
        <v>157779</v>
      </c>
      <c r="L147" s="92" t="n">
        <v>92221</v>
      </c>
      <c r="M147" s="93" t="n">
        <v>36.89</v>
      </c>
    </row>
    <row r="148" ht="15" customHeight="1" s="65">
      <c r="A148" s="86" t="n">
        <v>1147</v>
      </c>
      <c r="B148" s="86" t="inlineStr">
        <is>
          <t>Aug</t>
        </is>
      </c>
      <c r="C148" s="86" t="inlineStr">
        <is>
          <t>Q3</t>
        </is>
      </c>
      <c r="D148" s="87" t="inlineStr">
        <is>
          <t>Tablet</t>
        </is>
      </c>
      <c r="E148" s="87" t="inlineStr">
        <is>
          <t>Electronics</t>
        </is>
      </c>
      <c r="F148" s="87" t="inlineStr">
        <is>
          <t>South</t>
        </is>
      </c>
      <c r="G148" s="87" t="inlineStr">
        <is>
          <t>Priya Singh</t>
        </is>
      </c>
      <c r="H148" s="86" t="n">
        <v>6</v>
      </c>
      <c r="I148" s="88" t="n">
        <v>25000</v>
      </c>
      <c r="J148" s="88" t="n">
        <v>150000</v>
      </c>
      <c r="K148" s="88" t="n">
        <v>99985</v>
      </c>
      <c r="L148" s="88" t="n">
        <v>50015</v>
      </c>
      <c r="M148" s="89" t="n">
        <v>33.34</v>
      </c>
    </row>
    <row r="149" ht="15" customHeight="1" s="65">
      <c r="A149" s="90" t="n">
        <v>1148</v>
      </c>
      <c r="B149" s="90" t="inlineStr">
        <is>
          <t>Aug</t>
        </is>
      </c>
      <c r="C149" s="90" t="inlineStr">
        <is>
          <t>Q3</t>
        </is>
      </c>
      <c r="D149" s="91" t="inlineStr">
        <is>
          <t>Earphones</t>
        </is>
      </c>
      <c r="E149" s="91" t="inlineStr">
        <is>
          <t>Electronics</t>
        </is>
      </c>
      <c r="F149" s="91" t="inlineStr">
        <is>
          <t>North</t>
        </is>
      </c>
      <c r="G149" s="91" t="inlineStr">
        <is>
          <t>Vikas Rao</t>
        </is>
      </c>
      <c r="H149" s="90" t="n">
        <v>7</v>
      </c>
      <c r="I149" s="92" t="n">
        <v>3500</v>
      </c>
      <c r="J149" s="92" t="n">
        <v>24500</v>
      </c>
      <c r="K149" s="92" t="n">
        <v>12495</v>
      </c>
      <c r="L149" s="92" t="n">
        <v>12005</v>
      </c>
      <c r="M149" s="93" t="n">
        <v>49</v>
      </c>
    </row>
    <row r="150" ht="15" customHeight="1" s="65">
      <c r="A150" s="86" t="n">
        <v>1149</v>
      </c>
      <c r="B150" s="86" t="inlineStr">
        <is>
          <t>Sep</t>
        </is>
      </c>
      <c r="C150" s="86" t="inlineStr">
        <is>
          <t>Q3</t>
        </is>
      </c>
      <c r="D150" s="87" t="inlineStr">
        <is>
          <t>Mobile</t>
        </is>
      </c>
      <c r="E150" s="87" t="inlineStr">
        <is>
          <t>Electronics</t>
        </is>
      </c>
      <c r="F150" s="87" t="inlineStr">
        <is>
          <t>West</t>
        </is>
      </c>
      <c r="G150" s="87" t="inlineStr">
        <is>
          <t>Vikas Rao</t>
        </is>
      </c>
      <c r="H150" s="86" t="n">
        <v>4</v>
      </c>
      <c r="I150" s="88" t="n">
        <v>18000</v>
      </c>
      <c r="J150" s="88" t="n">
        <v>72000</v>
      </c>
      <c r="K150" s="88" t="n">
        <v>42756</v>
      </c>
      <c r="L150" s="88" t="n">
        <v>29244</v>
      </c>
      <c r="M150" s="89" t="n">
        <v>40.62</v>
      </c>
    </row>
    <row r="151" ht="15" customHeight="1" s="65">
      <c r="A151" s="90" t="n">
        <v>1150</v>
      </c>
      <c r="B151" s="90" t="inlineStr">
        <is>
          <t>Sep</t>
        </is>
      </c>
      <c r="C151" s="90" t="inlineStr">
        <is>
          <t>Q3</t>
        </is>
      </c>
      <c r="D151" s="91" t="inlineStr">
        <is>
          <t>Earphones</t>
        </is>
      </c>
      <c r="E151" s="91" t="inlineStr">
        <is>
          <t>Electronics</t>
        </is>
      </c>
      <c r="F151" s="91" t="inlineStr">
        <is>
          <t>West</t>
        </is>
      </c>
      <c r="G151" s="91" t="inlineStr">
        <is>
          <t>Rahul Sharma</t>
        </is>
      </c>
      <c r="H151" s="90" t="n">
        <v>3</v>
      </c>
      <c r="I151" s="92" t="n">
        <v>3500</v>
      </c>
      <c r="J151" s="92" t="n">
        <v>10500</v>
      </c>
      <c r="K151" s="92" t="n">
        <v>5799</v>
      </c>
      <c r="L151" s="92" t="n">
        <v>4701</v>
      </c>
      <c r="M151" s="93" t="n">
        <v>44.77</v>
      </c>
    </row>
    <row r="152" ht="15" customHeight="1" s="65">
      <c r="A152" s="86" t="n">
        <v>1151</v>
      </c>
      <c r="B152" s="86" t="inlineStr">
        <is>
          <t>Sep</t>
        </is>
      </c>
      <c r="C152" s="86" t="inlineStr">
        <is>
          <t>Q3</t>
        </is>
      </c>
      <c r="D152" s="87" t="inlineStr">
        <is>
          <t>Mobile</t>
        </is>
      </c>
      <c r="E152" s="87" t="inlineStr">
        <is>
          <t>Electronics</t>
        </is>
      </c>
      <c r="F152" s="87" t="inlineStr">
        <is>
          <t>North</t>
        </is>
      </c>
      <c r="G152" s="87" t="inlineStr">
        <is>
          <t>Rohit Verma</t>
        </is>
      </c>
      <c r="H152" s="86" t="n">
        <v>6</v>
      </c>
      <c r="I152" s="88" t="n">
        <v>18000</v>
      </c>
      <c r="J152" s="88" t="n">
        <v>108000</v>
      </c>
      <c r="K152" s="88" t="n">
        <v>66105</v>
      </c>
      <c r="L152" s="88" t="n">
        <v>41895</v>
      </c>
      <c r="M152" s="89" t="n">
        <v>38.79</v>
      </c>
    </row>
    <row r="153" ht="15" customHeight="1" s="65">
      <c r="A153" s="90" t="n">
        <v>1152</v>
      </c>
      <c r="B153" s="90" t="inlineStr">
        <is>
          <t>Sep</t>
        </is>
      </c>
      <c r="C153" s="90" t="inlineStr">
        <is>
          <t>Q3</t>
        </is>
      </c>
      <c r="D153" s="91" t="inlineStr">
        <is>
          <t>Earphones</t>
        </is>
      </c>
      <c r="E153" s="91" t="inlineStr">
        <is>
          <t>Electronics</t>
        </is>
      </c>
      <c r="F153" s="91" t="inlineStr">
        <is>
          <t>South</t>
        </is>
      </c>
      <c r="G153" s="91" t="inlineStr">
        <is>
          <t>Amit Kumar</t>
        </is>
      </c>
      <c r="H153" s="90" t="n">
        <v>1</v>
      </c>
      <c r="I153" s="92" t="n">
        <v>3500</v>
      </c>
      <c r="J153" s="92" t="n">
        <v>3500</v>
      </c>
      <c r="K153" s="92" t="n">
        <v>1829</v>
      </c>
      <c r="L153" s="92" t="n">
        <v>1671</v>
      </c>
      <c r="M153" s="93" t="n">
        <v>47.74</v>
      </c>
    </row>
    <row r="154" ht="15" customHeight="1" s="65">
      <c r="A154" s="86" t="n">
        <v>1153</v>
      </c>
      <c r="B154" s="86" t="inlineStr">
        <is>
          <t>Sep</t>
        </is>
      </c>
      <c r="C154" s="86" t="inlineStr">
        <is>
          <t>Q3</t>
        </is>
      </c>
      <c r="D154" s="87" t="inlineStr">
        <is>
          <t>Tablet</t>
        </is>
      </c>
      <c r="E154" s="87" t="inlineStr">
        <is>
          <t>Electronics</t>
        </is>
      </c>
      <c r="F154" s="87" t="inlineStr">
        <is>
          <t>North</t>
        </is>
      </c>
      <c r="G154" s="87" t="inlineStr">
        <is>
          <t>Kavita Joshi</t>
        </is>
      </c>
      <c r="H154" s="86" t="n">
        <v>12</v>
      </c>
      <c r="I154" s="88" t="n">
        <v>25000</v>
      </c>
      <c r="J154" s="88" t="n">
        <v>300000</v>
      </c>
      <c r="K154" s="88" t="n">
        <v>190644</v>
      </c>
      <c r="L154" s="88" t="n">
        <v>109356</v>
      </c>
      <c r="M154" s="89" t="n">
        <v>36.45</v>
      </c>
    </row>
    <row r="155" ht="15" customHeight="1" s="65">
      <c r="A155" s="90" t="n">
        <v>1154</v>
      </c>
      <c r="B155" s="90" t="inlineStr">
        <is>
          <t>Sep</t>
        </is>
      </c>
      <c r="C155" s="90" t="inlineStr">
        <is>
          <t>Q3</t>
        </is>
      </c>
      <c r="D155" s="91" t="inlineStr">
        <is>
          <t>Tablet</t>
        </is>
      </c>
      <c r="E155" s="91" t="inlineStr">
        <is>
          <t>Electronics</t>
        </is>
      </c>
      <c r="F155" s="91" t="inlineStr">
        <is>
          <t>South</t>
        </is>
      </c>
      <c r="G155" s="91" t="inlineStr">
        <is>
          <t>Amit Kumar</t>
        </is>
      </c>
      <c r="H155" s="90" t="n">
        <v>12</v>
      </c>
      <c r="I155" s="92" t="n">
        <v>25000</v>
      </c>
      <c r="J155" s="92" t="n">
        <v>300000</v>
      </c>
      <c r="K155" s="92" t="n">
        <v>197810</v>
      </c>
      <c r="L155" s="92" t="n">
        <v>102190</v>
      </c>
      <c r="M155" s="93" t="n">
        <v>34.06</v>
      </c>
    </row>
    <row r="156" ht="15" customHeight="1" s="65">
      <c r="A156" s="86" t="n">
        <v>1155</v>
      </c>
      <c r="B156" s="86" t="inlineStr">
        <is>
          <t>Sep</t>
        </is>
      </c>
      <c r="C156" s="86" t="inlineStr">
        <is>
          <t>Q3</t>
        </is>
      </c>
      <c r="D156" s="87" t="inlineStr">
        <is>
          <t>Tablet</t>
        </is>
      </c>
      <c r="E156" s="87" t="inlineStr">
        <is>
          <t>Electronics</t>
        </is>
      </c>
      <c r="F156" s="87" t="inlineStr">
        <is>
          <t>East</t>
        </is>
      </c>
      <c r="G156" s="87" t="inlineStr">
        <is>
          <t>Amit Kumar</t>
        </is>
      </c>
      <c r="H156" s="86" t="n">
        <v>7</v>
      </c>
      <c r="I156" s="88" t="n">
        <v>25000</v>
      </c>
      <c r="J156" s="88" t="n">
        <v>175000</v>
      </c>
      <c r="K156" s="88" t="n">
        <v>109718</v>
      </c>
      <c r="L156" s="88" t="n">
        <v>65282</v>
      </c>
      <c r="M156" s="89" t="n">
        <v>37.3</v>
      </c>
    </row>
    <row r="157" ht="15" customHeight="1" s="65">
      <c r="A157" s="90" t="n">
        <v>1156</v>
      </c>
      <c r="B157" s="90" t="inlineStr">
        <is>
          <t>Sep</t>
        </is>
      </c>
      <c r="C157" s="90" t="inlineStr">
        <is>
          <t>Q3</t>
        </is>
      </c>
      <c r="D157" s="91" t="inlineStr">
        <is>
          <t>Laptop</t>
        </is>
      </c>
      <c r="E157" s="91" t="inlineStr">
        <is>
          <t>Electronics</t>
        </is>
      </c>
      <c r="F157" s="91" t="inlineStr">
        <is>
          <t>East</t>
        </is>
      </c>
      <c r="G157" s="91" t="inlineStr">
        <is>
          <t>Neha Gupta</t>
        </is>
      </c>
      <c r="H157" s="90" t="n">
        <v>6</v>
      </c>
      <c r="I157" s="92" t="n">
        <v>55000</v>
      </c>
      <c r="J157" s="92" t="n">
        <v>330000</v>
      </c>
      <c r="K157" s="92" t="n">
        <v>225244</v>
      </c>
      <c r="L157" s="92" t="n">
        <v>104756</v>
      </c>
      <c r="M157" s="93" t="n">
        <v>31.74</v>
      </c>
    </row>
    <row r="158" ht="15" customHeight="1" s="65">
      <c r="A158" s="86" t="n">
        <v>1157</v>
      </c>
      <c r="B158" s="86" t="inlineStr">
        <is>
          <t>Sep</t>
        </is>
      </c>
      <c r="C158" s="86" t="inlineStr">
        <is>
          <t>Q3</t>
        </is>
      </c>
      <c r="D158" s="87" t="inlineStr">
        <is>
          <t>Mobile</t>
        </is>
      </c>
      <c r="E158" s="87" t="inlineStr">
        <is>
          <t>Electronics</t>
        </is>
      </c>
      <c r="F158" s="87" t="inlineStr">
        <is>
          <t>North</t>
        </is>
      </c>
      <c r="G158" s="87" t="inlineStr">
        <is>
          <t>Priya Singh</t>
        </is>
      </c>
      <c r="H158" s="86" t="n">
        <v>2</v>
      </c>
      <c r="I158" s="88" t="n">
        <v>18000</v>
      </c>
      <c r="J158" s="88" t="n">
        <v>36000</v>
      </c>
      <c r="K158" s="88" t="n">
        <v>21525</v>
      </c>
      <c r="L158" s="88" t="n">
        <v>14475</v>
      </c>
      <c r="M158" s="89" t="n">
        <v>40.21</v>
      </c>
    </row>
    <row r="159" ht="15" customHeight="1" s="65">
      <c r="A159" s="90" t="n">
        <v>1158</v>
      </c>
      <c r="B159" s="90" t="inlineStr">
        <is>
          <t>Sep</t>
        </is>
      </c>
      <c r="C159" s="90" t="inlineStr">
        <is>
          <t>Q3</t>
        </is>
      </c>
      <c r="D159" s="91" t="inlineStr">
        <is>
          <t>Tablet</t>
        </is>
      </c>
      <c r="E159" s="91" t="inlineStr">
        <is>
          <t>Electronics</t>
        </is>
      </c>
      <c r="F159" s="91" t="inlineStr">
        <is>
          <t>North</t>
        </is>
      </c>
      <c r="G159" s="91" t="inlineStr">
        <is>
          <t>Rohit Verma</t>
        </is>
      </c>
      <c r="H159" s="90" t="n">
        <v>3</v>
      </c>
      <c r="I159" s="92" t="n">
        <v>25000</v>
      </c>
      <c r="J159" s="92" t="n">
        <v>75000</v>
      </c>
      <c r="K159" s="92" t="n">
        <v>51582</v>
      </c>
      <c r="L159" s="92" t="n">
        <v>23418</v>
      </c>
      <c r="M159" s="93" t="n">
        <v>31.22</v>
      </c>
    </row>
    <row r="160" ht="15" customHeight="1" s="65">
      <c r="A160" s="86" t="n">
        <v>1159</v>
      </c>
      <c r="B160" s="86" t="inlineStr">
        <is>
          <t>Sep</t>
        </is>
      </c>
      <c r="C160" s="86" t="inlineStr">
        <is>
          <t>Q3</t>
        </is>
      </c>
      <c r="D160" s="87" t="inlineStr">
        <is>
          <t>Earphones</t>
        </is>
      </c>
      <c r="E160" s="87" t="inlineStr">
        <is>
          <t>Electronics</t>
        </is>
      </c>
      <c r="F160" s="87" t="inlineStr">
        <is>
          <t>West</t>
        </is>
      </c>
      <c r="G160" s="87" t="inlineStr">
        <is>
          <t>Sneha Patel</t>
        </is>
      </c>
      <c r="H160" s="86" t="n">
        <v>6</v>
      </c>
      <c r="I160" s="88" t="n">
        <v>3500</v>
      </c>
      <c r="J160" s="88" t="n">
        <v>21000</v>
      </c>
      <c r="K160" s="88" t="n">
        <v>10846</v>
      </c>
      <c r="L160" s="88" t="n">
        <v>10154</v>
      </c>
      <c r="M160" s="89" t="n">
        <v>48.35</v>
      </c>
    </row>
    <row r="161" ht="15" customHeight="1" s="65">
      <c r="A161" s="90" t="n">
        <v>1160</v>
      </c>
      <c r="B161" s="90" t="inlineStr">
        <is>
          <t>Sep</t>
        </is>
      </c>
      <c r="C161" s="90" t="inlineStr">
        <is>
          <t>Q3</t>
        </is>
      </c>
      <c r="D161" s="91" t="inlineStr">
        <is>
          <t>Laptop</t>
        </is>
      </c>
      <c r="E161" s="91" t="inlineStr">
        <is>
          <t>Electronics</t>
        </is>
      </c>
      <c r="F161" s="91" t="inlineStr">
        <is>
          <t>North</t>
        </is>
      </c>
      <c r="G161" s="91" t="inlineStr">
        <is>
          <t>Kavita Joshi</t>
        </is>
      </c>
      <c r="H161" s="90" t="n">
        <v>8</v>
      </c>
      <c r="I161" s="92" t="n">
        <v>55000</v>
      </c>
      <c r="J161" s="92" t="n">
        <v>440000</v>
      </c>
      <c r="K161" s="92" t="n">
        <v>289178</v>
      </c>
      <c r="L161" s="92" t="n">
        <v>150822</v>
      </c>
      <c r="M161" s="93" t="n">
        <v>34.28</v>
      </c>
    </row>
    <row r="162" ht="15" customHeight="1" s="65">
      <c r="A162" s="86" t="n">
        <v>1161</v>
      </c>
      <c r="B162" s="86" t="inlineStr">
        <is>
          <t>Sep</t>
        </is>
      </c>
      <c r="C162" s="86" t="inlineStr">
        <is>
          <t>Q3</t>
        </is>
      </c>
      <c r="D162" s="87" t="inlineStr">
        <is>
          <t>Smart Watch</t>
        </is>
      </c>
      <c r="E162" s="87" t="inlineStr">
        <is>
          <t>Electronics</t>
        </is>
      </c>
      <c r="F162" s="87" t="inlineStr">
        <is>
          <t>South</t>
        </is>
      </c>
      <c r="G162" s="87" t="inlineStr">
        <is>
          <t>Rahul Sharma</t>
        </is>
      </c>
      <c r="H162" s="86" t="n">
        <v>3</v>
      </c>
      <c r="I162" s="88" t="n">
        <v>12000</v>
      </c>
      <c r="J162" s="88" t="n">
        <v>36000</v>
      </c>
      <c r="K162" s="88" t="n">
        <v>22039</v>
      </c>
      <c r="L162" s="88" t="n">
        <v>13961</v>
      </c>
      <c r="M162" s="89" t="n">
        <v>38.78</v>
      </c>
    </row>
    <row r="163" ht="15" customHeight="1" s="65">
      <c r="A163" s="90" t="n">
        <v>1162</v>
      </c>
      <c r="B163" s="90" t="inlineStr">
        <is>
          <t>Sep</t>
        </is>
      </c>
      <c r="C163" s="90" t="inlineStr">
        <is>
          <t>Q3</t>
        </is>
      </c>
      <c r="D163" s="91" t="inlineStr">
        <is>
          <t>Smart Watch</t>
        </is>
      </c>
      <c r="E163" s="91" t="inlineStr">
        <is>
          <t>Electronics</t>
        </is>
      </c>
      <c r="F163" s="91" t="inlineStr">
        <is>
          <t>South</t>
        </is>
      </c>
      <c r="G163" s="91" t="inlineStr">
        <is>
          <t>Rohit Verma</t>
        </is>
      </c>
      <c r="H163" s="90" t="n">
        <v>6</v>
      </c>
      <c r="I163" s="92" t="n">
        <v>12000</v>
      </c>
      <c r="J163" s="92" t="n">
        <v>72000</v>
      </c>
      <c r="K163" s="92" t="n">
        <v>41916</v>
      </c>
      <c r="L163" s="92" t="n">
        <v>30084</v>
      </c>
      <c r="M163" s="93" t="n">
        <v>41.78</v>
      </c>
    </row>
    <row r="164" ht="15" customHeight="1" s="65">
      <c r="A164" s="86" t="n">
        <v>1163</v>
      </c>
      <c r="B164" s="86" t="inlineStr">
        <is>
          <t>Sep</t>
        </is>
      </c>
      <c r="C164" s="86" t="inlineStr">
        <is>
          <t>Q3</t>
        </is>
      </c>
      <c r="D164" s="87" t="inlineStr">
        <is>
          <t>Smart Watch</t>
        </is>
      </c>
      <c r="E164" s="87" t="inlineStr">
        <is>
          <t>Electronics</t>
        </is>
      </c>
      <c r="F164" s="87" t="inlineStr">
        <is>
          <t>East</t>
        </is>
      </c>
      <c r="G164" s="87" t="inlineStr">
        <is>
          <t>Amit Kumar</t>
        </is>
      </c>
      <c r="H164" s="86" t="n">
        <v>7</v>
      </c>
      <c r="I164" s="88" t="n">
        <v>12000</v>
      </c>
      <c r="J164" s="88" t="n">
        <v>84000</v>
      </c>
      <c r="K164" s="88" t="n">
        <v>50862</v>
      </c>
      <c r="L164" s="88" t="n">
        <v>33138</v>
      </c>
      <c r="M164" s="89" t="n">
        <v>39.45</v>
      </c>
    </row>
    <row r="165" ht="15" customHeight="1" s="65">
      <c r="A165" s="90" t="n">
        <v>1164</v>
      </c>
      <c r="B165" s="90" t="inlineStr">
        <is>
          <t>Sep</t>
        </is>
      </c>
      <c r="C165" s="90" t="inlineStr">
        <is>
          <t>Q3</t>
        </is>
      </c>
      <c r="D165" s="91" t="inlineStr">
        <is>
          <t>Earphones</t>
        </is>
      </c>
      <c r="E165" s="91" t="inlineStr">
        <is>
          <t>Electronics</t>
        </is>
      </c>
      <c r="F165" s="91" t="inlineStr">
        <is>
          <t>North</t>
        </is>
      </c>
      <c r="G165" s="91" t="inlineStr">
        <is>
          <t>Kavita Joshi</t>
        </is>
      </c>
      <c r="H165" s="90" t="n">
        <v>9</v>
      </c>
      <c r="I165" s="92" t="n">
        <v>3500</v>
      </c>
      <c r="J165" s="92" t="n">
        <v>31500</v>
      </c>
      <c r="K165" s="92" t="n">
        <v>17234</v>
      </c>
      <c r="L165" s="92" t="n">
        <v>14266</v>
      </c>
      <c r="M165" s="93" t="n">
        <v>45.29</v>
      </c>
    </row>
    <row r="166" ht="15" customHeight="1" s="65">
      <c r="A166" s="86" t="n">
        <v>1165</v>
      </c>
      <c r="B166" s="86" t="inlineStr">
        <is>
          <t>Sep</t>
        </is>
      </c>
      <c r="C166" s="86" t="inlineStr">
        <is>
          <t>Q3</t>
        </is>
      </c>
      <c r="D166" s="87" t="inlineStr">
        <is>
          <t>Tablet</t>
        </is>
      </c>
      <c r="E166" s="87" t="inlineStr">
        <is>
          <t>Electronics</t>
        </is>
      </c>
      <c r="F166" s="87" t="inlineStr">
        <is>
          <t>South</t>
        </is>
      </c>
      <c r="G166" s="87" t="inlineStr">
        <is>
          <t>Vikas Rao</t>
        </is>
      </c>
      <c r="H166" s="86" t="n">
        <v>9</v>
      </c>
      <c r="I166" s="88" t="n">
        <v>25000</v>
      </c>
      <c r="J166" s="88" t="n">
        <v>225000</v>
      </c>
      <c r="K166" s="88" t="n">
        <v>145290</v>
      </c>
      <c r="L166" s="88" t="n">
        <v>79710</v>
      </c>
      <c r="M166" s="89" t="n">
        <v>35.43</v>
      </c>
    </row>
    <row r="167" ht="15" customHeight="1" s="65">
      <c r="A167" s="90" t="n">
        <v>1166</v>
      </c>
      <c r="B167" s="90" t="inlineStr">
        <is>
          <t>Sep</t>
        </is>
      </c>
      <c r="C167" s="90" t="inlineStr">
        <is>
          <t>Q3</t>
        </is>
      </c>
      <c r="D167" s="91" t="inlineStr">
        <is>
          <t>Tablet</t>
        </is>
      </c>
      <c r="E167" s="91" t="inlineStr">
        <is>
          <t>Electronics</t>
        </is>
      </c>
      <c r="F167" s="91" t="inlineStr">
        <is>
          <t>North</t>
        </is>
      </c>
      <c r="G167" s="91" t="inlineStr">
        <is>
          <t>Rahul Sharma</t>
        </is>
      </c>
      <c r="H167" s="90" t="n">
        <v>12</v>
      </c>
      <c r="I167" s="92" t="n">
        <v>25000</v>
      </c>
      <c r="J167" s="92" t="n">
        <v>300000</v>
      </c>
      <c r="K167" s="92" t="n">
        <v>193908</v>
      </c>
      <c r="L167" s="92" t="n">
        <v>106092</v>
      </c>
      <c r="M167" s="93" t="n">
        <v>35.36</v>
      </c>
    </row>
    <row r="168" ht="15" customHeight="1" s="65">
      <c r="A168" s="86" t="n">
        <v>1167</v>
      </c>
      <c r="B168" s="86" t="inlineStr">
        <is>
          <t>Sep</t>
        </is>
      </c>
      <c r="C168" s="86" t="inlineStr">
        <is>
          <t>Q3</t>
        </is>
      </c>
      <c r="D168" s="87" t="inlineStr">
        <is>
          <t>Laptop</t>
        </is>
      </c>
      <c r="E168" s="87" t="inlineStr">
        <is>
          <t>Electronics</t>
        </is>
      </c>
      <c r="F168" s="87" t="inlineStr">
        <is>
          <t>South</t>
        </is>
      </c>
      <c r="G168" s="87" t="inlineStr">
        <is>
          <t>Rohit Verma</t>
        </is>
      </c>
      <c r="H168" s="86" t="n">
        <v>7</v>
      </c>
      <c r="I168" s="88" t="n">
        <v>55000</v>
      </c>
      <c r="J168" s="88" t="n">
        <v>385000</v>
      </c>
      <c r="K168" s="88" t="n">
        <v>273772</v>
      </c>
      <c r="L168" s="88" t="n">
        <v>111228</v>
      </c>
      <c r="M168" s="89" t="n">
        <v>28.89</v>
      </c>
    </row>
    <row r="169" ht="15" customHeight="1" s="65">
      <c r="A169" s="90" t="n">
        <v>1168</v>
      </c>
      <c r="B169" s="90" t="inlineStr">
        <is>
          <t>Sep</t>
        </is>
      </c>
      <c r="C169" s="90" t="inlineStr">
        <is>
          <t>Q3</t>
        </is>
      </c>
      <c r="D169" s="91" t="inlineStr">
        <is>
          <t>Mobile</t>
        </is>
      </c>
      <c r="E169" s="91" t="inlineStr">
        <is>
          <t>Electronics</t>
        </is>
      </c>
      <c r="F169" s="91" t="inlineStr">
        <is>
          <t>North</t>
        </is>
      </c>
      <c r="G169" s="91" t="inlineStr">
        <is>
          <t>Sneha Patel</t>
        </is>
      </c>
      <c r="H169" s="90" t="n">
        <v>3</v>
      </c>
      <c r="I169" s="92" t="n">
        <v>18000</v>
      </c>
      <c r="J169" s="92" t="n">
        <v>54000</v>
      </c>
      <c r="K169" s="92" t="n">
        <v>35112</v>
      </c>
      <c r="L169" s="92" t="n">
        <v>18888</v>
      </c>
      <c r="M169" s="93" t="n">
        <v>34.98</v>
      </c>
    </row>
    <row r="170" ht="15" customHeight="1" s="65">
      <c r="A170" s="86" t="n">
        <v>1169</v>
      </c>
      <c r="B170" s="86" t="inlineStr">
        <is>
          <t>Sep</t>
        </is>
      </c>
      <c r="C170" s="86" t="inlineStr">
        <is>
          <t>Q3</t>
        </is>
      </c>
      <c r="D170" s="87" t="inlineStr">
        <is>
          <t>Laptop</t>
        </is>
      </c>
      <c r="E170" s="87" t="inlineStr">
        <is>
          <t>Electronics</t>
        </is>
      </c>
      <c r="F170" s="87" t="inlineStr">
        <is>
          <t>West</t>
        </is>
      </c>
      <c r="G170" s="87" t="inlineStr">
        <is>
          <t>Rohit Verma</t>
        </is>
      </c>
      <c r="H170" s="86" t="n">
        <v>9</v>
      </c>
      <c r="I170" s="88" t="n">
        <v>55000</v>
      </c>
      <c r="J170" s="88" t="n">
        <v>495000</v>
      </c>
      <c r="K170" s="88" t="n">
        <v>353640</v>
      </c>
      <c r="L170" s="88" t="n">
        <v>141360</v>
      </c>
      <c r="M170" s="89" t="n">
        <v>28.56</v>
      </c>
    </row>
    <row r="171" ht="15" customHeight="1" s="65">
      <c r="A171" s="90" t="n">
        <v>1170</v>
      </c>
      <c r="B171" s="90" t="inlineStr">
        <is>
          <t>Sep</t>
        </is>
      </c>
      <c r="C171" s="90" t="inlineStr">
        <is>
          <t>Q3</t>
        </is>
      </c>
      <c r="D171" s="91" t="inlineStr">
        <is>
          <t>Smart Watch</t>
        </is>
      </c>
      <c r="E171" s="91" t="inlineStr">
        <is>
          <t>Electronics</t>
        </is>
      </c>
      <c r="F171" s="91" t="inlineStr">
        <is>
          <t>North</t>
        </is>
      </c>
      <c r="G171" s="91" t="inlineStr">
        <is>
          <t>Amit Kumar</t>
        </is>
      </c>
      <c r="H171" s="90" t="n">
        <v>11</v>
      </c>
      <c r="I171" s="92" t="n">
        <v>12000</v>
      </c>
      <c r="J171" s="92" t="n">
        <v>132000</v>
      </c>
      <c r="K171" s="92" t="n">
        <v>81784</v>
      </c>
      <c r="L171" s="92" t="n">
        <v>50216</v>
      </c>
      <c r="M171" s="93" t="n">
        <v>38.04</v>
      </c>
    </row>
    <row r="172" ht="15" customHeight="1" s="65">
      <c r="A172" s="86" t="n">
        <v>1171</v>
      </c>
      <c r="B172" s="86" t="inlineStr">
        <is>
          <t>Sep</t>
        </is>
      </c>
      <c r="C172" s="86" t="inlineStr">
        <is>
          <t>Q3</t>
        </is>
      </c>
      <c r="D172" s="87" t="inlineStr">
        <is>
          <t>Laptop</t>
        </is>
      </c>
      <c r="E172" s="87" t="inlineStr">
        <is>
          <t>Electronics</t>
        </is>
      </c>
      <c r="F172" s="87" t="inlineStr">
        <is>
          <t>North</t>
        </is>
      </c>
      <c r="G172" s="87" t="inlineStr">
        <is>
          <t>Vikas Rao</t>
        </is>
      </c>
      <c r="H172" s="86" t="n">
        <v>1</v>
      </c>
      <c r="I172" s="88" t="n">
        <v>55000</v>
      </c>
      <c r="J172" s="88" t="n">
        <v>55000</v>
      </c>
      <c r="K172" s="88" t="n">
        <v>36722</v>
      </c>
      <c r="L172" s="88" t="n">
        <v>18278</v>
      </c>
      <c r="M172" s="89" t="n">
        <v>33.23</v>
      </c>
    </row>
    <row r="173" ht="15" customHeight="1" s="65">
      <c r="A173" s="90" t="n">
        <v>1172</v>
      </c>
      <c r="B173" s="90" t="inlineStr">
        <is>
          <t>Oct</t>
        </is>
      </c>
      <c r="C173" s="90" t="inlineStr">
        <is>
          <t>Q4</t>
        </is>
      </c>
      <c r="D173" s="91" t="inlineStr">
        <is>
          <t>Smart Watch</t>
        </is>
      </c>
      <c r="E173" s="91" t="inlineStr">
        <is>
          <t>Electronics</t>
        </is>
      </c>
      <c r="F173" s="91" t="inlineStr">
        <is>
          <t>West</t>
        </is>
      </c>
      <c r="G173" s="91" t="inlineStr">
        <is>
          <t>Sneha Patel</t>
        </is>
      </c>
      <c r="H173" s="90" t="n">
        <v>1</v>
      </c>
      <c r="I173" s="92" t="n">
        <v>12000</v>
      </c>
      <c r="J173" s="92" t="n">
        <v>12000</v>
      </c>
      <c r="K173" s="92" t="n">
        <v>6905</v>
      </c>
      <c r="L173" s="92" t="n">
        <v>5095</v>
      </c>
      <c r="M173" s="93" t="n">
        <v>42.46</v>
      </c>
    </row>
    <row r="174" ht="15" customHeight="1" s="65">
      <c r="A174" s="86" t="n">
        <v>1173</v>
      </c>
      <c r="B174" s="86" t="inlineStr">
        <is>
          <t>Oct</t>
        </is>
      </c>
      <c r="C174" s="86" t="inlineStr">
        <is>
          <t>Q4</t>
        </is>
      </c>
      <c r="D174" s="87" t="inlineStr">
        <is>
          <t>Smart Watch</t>
        </is>
      </c>
      <c r="E174" s="87" t="inlineStr">
        <is>
          <t>Electronics</t>
        </is>
      </c>
      <c r="F174" s="87" t="inlineStr">
        <is>
          <t>West</t>
        </is>
      </c>
      <c r="G174" s="87" t="inlineStr">
        <is>
          <t>Sneha Patel</t>
        </is>
      </c>
      <c r="H174" s="86" t="n">
        <v>10</v>
      </c>
      <c r="I174" s="88" t="n">
        <v>12000</v>
      </c>
      <c r="J174" s="88" t="n">
        <v>120000</v>
      </c>
      <c r="K174" s="88" t="n">
        <v>74432</v>
      </c>
      <c r="L174" s="88" t="n">
        <v>45568</v>
      </c>
      <c r="M174" s="89" t="n">
        <v>37.97</v>
      </c>
    </row>
    <row r="175" ht="15" customHeight="1" s="65">
      <c r="A175" s="90" t="n">
        <v>1174</v>
      </c>
      <c r="B175" s="90" t="inlineStr">
        <is>
          <t>Oct</t>
        </is>
      </c>
      <c r="C175" s="90" t="inlineStr">
        <is>
          <t>Q4</t>
        </is>
      </c>
      <c r="D175" s="91" t="inlineStr">
        <is>
          <t>Mobile</t>
        </is>
      </c>
      <c r="E175" s="91" t="inlineStr">
        <is>
          <t>Electronics</t>
        </is>
      </c>
      <c r="F175" s="91" t="inlineStr">
        <is>
          <t>North</t>
        </is>
      </c>
      <c r="G175" s="91" t="inlineStr">
        <is>
          <t>Neha Gupta</t>
        </is>
      </c>
      <c r="H175" s="90" t="n">
        <v>7</v>
      </c>
      <c r="I175" s="92" t="n">
        <v>18000</v>
      </c>
      <c r="J175" s="92" t="n">
        <v>126000</v>
      </c>
      <c r="K175" s="92" t="n">
        <v>76575</v>
      </c>
      <c r="L175" s="92" t="n">
        <v>49425</v>
      </c>
      <c r="M175" s="93" t="n">
        <v>39.23</v>
      </c>
    </row>
    <row r="176" ht="15" customHeight="1" s="65">
      <c r="A176" s="86" t="n">
        <v>1175</v>
      </c>
      <c r="B176" s="86" t="inlineStr">
        <is>
          <t>Oct</t>
        </is>
      </c>
      <c r="C176" s="86" t="inlineStr">
        <is>
          <t>Q4</t>
        </is>
      </c>
      <c r="D176" s="87" t="inlineStr">
        <is>
          <t>Smart Watch</t>
        </is>
      </c>
      <c r="E176" s="87" t="inlineStr">
        <is>
          <t>Electronics</t>
        </is>
      </c>
      <c r="F176" s="87" t="inlineStr">
        <is>
          <t>North</t>
        </is>
      </c>
      <c r="G176" s="87" t="inlineStr">
        <is>
          <t>Rahul Sharma</t>
        </is>
      </c>
      <c r="H176" s="86" t="n">
        <v>13</v>
      </c>
      <c r="I176" s="88" t="n">
        <v>12000</v>
      </c>
      <c r="J176" s="88" t="n">
        <v>156000</v>
      </c>
      <c r="K176" s="88" t="n">
        <v>92999</v>
      </c>
      <c r="L176" s="88" t="n">
        <v>63001</v>
      </c>
      <c r="M176" s="89" t="n">
        <v>40.39</v>
      </c>
    </row>
    <row r="177" ht="15" customHeight="1" s="65">
      <c r="A177" s="90" t="n">
        <v>1176</v>
      </c>
      <c r="B177" s="90" t="inlineStr">
        <is>
          <t>Oct</t>
        </is>
      </c>
      <c r="C177" s="90" t="inlineStr">
        <is>
          <t>Q4</t>
        </is>
      </c>
      <c r="D177" s="91" t="inlineStr">
        <is>
          <t>Mobile</t>
        </is>
      </c>
      <c r="E177" s="91" t="inlineStr">
        <is>
          <t>Electronics</t>
        </is>
      </c>
      <c r="F177" s="91" t="inlineStr">
        <is>
          <t>West</t>
        </is>
      </c>
      <c r="G177" s="91" t="inlineStr">
        <is>
          <t>Sneha Patel</t>
        </is>
      </c>
      <c r="H177" s="90" t="n">
        <v>8</v>
      </c>
      <c r="I177" s="92" t="n">
        <v>18000</v>
      </c>
      <c r="J177" s="92" t="n">
        <v>144000</v>
      </c>
      <c r="K177" s="92" t="n">
        <v>94051</v>
      </c>
      <c r="L177" s="92" t="n">
        <v>49949</v>
      </c>
      <c r="M177" s="93" t="n">
        <v>34.69</v>
      </c>
    </row>
    <row r="178" ht="15" customHeight="1" s="65">
      <c r="A178" s="86" t="n">
        <v>1177</v>
      </c>
      <c r="B178" s="86" t="inlineStr">
        <is>
          <t>Oct</t>
        </is>
      </c>
      <c r="C178" s="86" t="inlineStr">
        <is>
          <t>Q4</t>
        </is>
      </c>
      <c r="D178" s="87" t="inlineStr">
        <is>
          <t>Mobile</t>
        </is>
      </c>
      <c r="E178" s="87" t="inlineStr">
        <is>
          <t>Electronics</t>
        </is>
      </c>
      <c r="F178" s="87" t="inlineStr">
        <is>
          <t>West</t>
        </is>
      </c>
      <c r="G178" s="87" t="inlineStr">
        <is>
          <t>Neha Gupta</t>
        </is>
      </c>
      <c r="H178" s="86" t="n">
        <v>7</v>
      </c>
      <c r="I178" s="88" t="n">
        <v>18000</v>
      </c>
      <c r="J178" s="88" t="n">
        <v>126000</v>
      </c>
      <c r="K178" s="88" t="n">
        <v>74957</v>
      </c>
      <c r="L178" s="88" t="n">
        <v>51043</v>
      </c>
      <c r="M178" s="89" t="n">
        <v>40.51</v>
      </c>
    </row>
    <row r="179" ht="15" customHeight="1" s="65">
      <c r="A179" s="90" t="n">
        <v>1178</v>
      </c>
      <c r="B179" s="90" t="inlineStr">
        <is>
          <t>Oct</t>
        </is>
      </c>
      <c r="C179" s="90" t="inlineStr">
        <is>
          <t>Q4</t>
        </is>
      </c>
      <c r="D179" s="91" t="inlineStr">
        <is>
          <t>Earphones</t>
        </is>
      </c>
      <c r="E179" s="91" t="inlineStr">
        <is>
          <t>Electronics</t>
        </is>
      </c>
      <c r="F179" s="91" t="inlineStr">
        <is>
          <t>South</t>
        </is>
      </c>
      <c r="G179" s="91" t="inlineStr">
        <is>
          <t>Vikas Rao</t>
        </is>
      </c>
      <c r="H179" s="90" t="n">
        <v>12</v>
      </c>
      <c r="I179" s="92" t="n">
        <v>3500</v>
      </c>
      <c r="J179" s="92" t="n">
        <v>42000</v>
      </c>
      <c r="K179" s="92" t="n">
        <v>23033</v>
      </c>
      <c r="L179" s="92" t="n">
        <v>18967</v>
      </c>
      <c r="M179" s="93" t="n">
        <v>45.16</v>
      </c>
    </row>
    <row r="180" ht="15" customHeight="1" s="65">
      <c r="A180" s="86" t="n">
        <v>1179</v>
      </c>
      <c r="B180" s="86" t="inlineStr">
        <is>
          <t>Oct</t>
        </is>
      </c>
      <c r="C180" s="86" t="inlineStr">
        <is>
          <t>Q4</t>
        </is>
      </c>
      <c r="D180" s="87" t="inlineStr">
        <is>
          <t>Tablet</t>
        </is>
      </c>
      <c r="E180" s="87" t="inlineStr">
        <is>
          <t>Electronics</t>
        </is>
      </c>
      <c r="F180" s="87" t="inlineStr">
        <is>
          <t>South</t>
        </is>
      </c>
      <c r="G180" s="87" t="inlineStr">
        <is>
          <t>Vikas Rao</t>
        </is>
      </c>
      <c r="H180" s="86" t="n">
        <v>10</v>
      </c>
      <c r="I180" s="88" t="n">
        <v>25000</v>
      </c>
      <c r="J180" s="88" t="n">
        <v>250000</v>
      </c>
      <c r="K180" s="88" t="n">
        <v>164597</v>
      </c>
      <c r="L180" s="88" t="n">
        <v>85403</v>
      </c>
      <c r="M180" s="89" t="n">
        <v>34.16</v>
      </c>
    </row>
    <row r="181" ht="15" customHeight="1" s="65">
      <c r="A181" s="90" t="n">
        <v>1180</v>
      </c>
      <c r="B181" s="90" t="inlineStr">
        <is>
          <t>Oct</t>
        </is>
      </c>
      <c r="C181" s="90" t="inlineStr">
        <is>
          <t>Q4</t>
        </is>
      </c>
      <c r="D181" s="91" t="inlineStr">
        <is>
          <t>Mobile</t>
        </is>
      </c>
      <c r="E181" s="91" t="inlineStr">
        <is>
          <t>Electronics</t>
        </is>
      </c>
      <c r="F181" s="91" t="inlineStr">
        <is>
          <t>West</t>
        </is>
      </c>
      <c r="G181" s="91" t="inlineStr">
        <is>
          <t>Rahul Sharma</t>
        </is>
      </c>
      <c r="H181" s="90" t="n">
        <v>8</v>
      </c>
      <c r="I181" s="92" t="n">
        <v>18000</v>
      </c>
      <c r="J181" s="92" t="n">
        <v>144000</v>
      </c>
      <c r="K181" s="92" t="n">
        <v>91719</v>
      </c>
      <c r="L181" s="92" t="n">
        <v>52281</v>
      </c>
      <c r="M181" s="93" t="n">
        <v>36.31</v>
      </c>
    </row>
    <row r="182" ht="15" customHeight="1" s="65">
      <c r="A182" s="86" t="n">
        <v>1181</v>
      </c>
      <c r="B182" s="86" t="inlineStr">
        <is>
          <t>Oct</t>
        </is>
      </c>
      <c r="C182" s="86" t="inlineStr">
        <is>
          <t>Q4</t>
        </is>
      </c>
      <c r="D182" s="87" t="inlineStr">
        <is>
          <t>Smart Watch</t>
        </is>
      </c>
      <c r="E182" s="87" t="inlineStr">
        <is>
          <t>Electronics</t>
        </is>
      </c>
      <c r="F182" s="87" t="inlineStr">
        <is>
          <t>East</t>
        </is>
      </c>
      <c r="G182" s="87" t="inlineStr">
        <is>
          <t>Rahul Sharma</t>
        </is>
      </c>
      <c r="H182" s="86" t="n">
        <v>2</v>
      </c>
      <c r="I182" s="88" t="n">
        <v>12000</v>
      </c>
      <c r="J182" s="88" t="n">
        <v>24000</v>
      </c>
      <c r="K182" s="88" t="n">
        <v>14156</v>
      </c>
      <c r="L182" s="88" t="n">
        <v>9844</v>
      </c>
      <c r="M182" s="89" t="n">
        <v>41.02</v>
      </c>
    </row>
    <row r="183" ht="15" customHeight="1" s="65">
      <c r="A183" s="90" t="n">
        <v>1182</v>
      </c>
      <c r="B183" s="90" t="inlineStr">
        <is>
          <t>Oct</t>
        </is>
      </c>
      <c r="C183" s="90" t="inlineStr">
        <is>
          <t>Q4</t>
        </is>
      </c>
      <c r="D183" s="91" t="inlineStr">
        <is>
          <t>Mobile</t>
        </is>
      </c>
      <c r="E183" s="91" t="inlineStr">
        <is>
          <t>Electronics</t>
        </is>
      </c>
      <c r="F183" s="91" t="inlineStr">
        <is>
          <t>South</t>
        </is>
      </c>
      <c r="G183" s="91" t="inlineStr">
        <is>
          <t>Vikas Rao</t>
        </is>
      </c>
      <c r="H183" s="90" t="n">
        <v>6</v>
      </c>
      <c r="I183" s="92" t="n">
        <v>18000</v>
      </c>
      <c r="J183" s="92" t="n">
        <v>108000</v>
      </c>
      <c r="K183" s="92" t="n">
        <v>70569</v>
      </c>
      <c r="L183" s="92" t="n">
        <v>37431</v>
      </c>
      <c r="M183" s="93" t="n">
        <v>34.66</v>
      </c>
    </row>
    <row r="184" ht="15" customHeight="1" s="65">
      <c r="A184" s="86" t="n">
        <v>1183</v>
      </c>
      <c r="B184" s="86" t="inlineStr">
        <is>
          <t>Oct</t>
        </is>
      </c>
      <c r="C184" s="86" t="inlineStr">
        <is>
          <t>Q4</t>
        </is>
      </c>
      <c r="D184" s="87" t="inlineStr">
        <is>
          <t>Earphones</t>
        </is>
      </c>
      <c r="E184" s="87" t="inlineStr">
        <is>
          <t>Electronics</t>
        </is>
      </c>
      <c r="F184" s="87" t="inlineStr">
        <is>
          <t>West</t>
        </is>
      </c>
      <c r="G184" s="87" t="inlineStr">
        <is>
          <t>Vikas Rao</t>
        </is>
      </c>
      <c r="H184" s="86" t="n">
        <v>8</v>
      </c>
      <c r="I184" s="88" t="n">
        <v>3500</v>
      </c>
      <c r="J184" s="88" t="n">
        <v>28000</v>
      </c>
      <c r="K184" s="88" t="n">
        <v>14655</v>
      </c>
      <c r="L184" s="88" t="n">
        <v>13345</v>
      </c>
      <c r="M184" s="89" t="n">
        <v>47.66</v>
      </c>
    </row>
    <row r="185" ht="15" customHeight="1" s="65">
      <c r="A185" s="90" t="n">
        <v>1184</v>
      </c>
      <c r="B185" s="90" t="inlineStr">
        <is>
          <t>Oct</t>
        </is>
      </c>
      <c r="C185" s="90" t="inlineStr">
        <is>
          <t>Q4</t>
        </is>
      </c>
      <c r="D185" s="91" t="inlineStr">
        <is>
          <t>Earphones</t>
        </is>
      </c>
      <c r="E185" s="91" t="inlineStr">
        <is>
          <t>Electronics</t>
        </is>
      </c>
      <c r="F185" s="91" t="inlineStr">
        <is>
          <t>East</t>
        </is>
      </c>
      <c r="G185" s="91" t="inlineStr">
        <is>
          <t>Priya Singh</t>
        </is>
      </c>
      <c r="H185" s="90" t="n">
        <v>1</v>
      </c>
      <c r="I185" s="92" t="n">
        <v>3500</v>
      </c>
      <c r="J185" s="92" t="n">
        <v>3500</v>
      </c>
      <c r="K185" s="92" t="n">
        <v>1972</v>
      </c>
      <c r="L185" s="92" t="n">
        <v>1528</v>
      </c>
      <c r="M185" s="93" t="n">
        <v>43.66</v>
      </c>
    </row>
    <row r="186" ht="15" customHeight="1" s="65">
      <c r="A186" s="86" t="n">
        <v>1185</v>
      </c>
      <c r="B186" s="86" t="inlineStr">
        <is>
          <t>Oct</t>
        </is>
      </c>
      <c r="C186" s="86" t="inlineStr">
        <is>
          <t>Q4</t>
        </is>
      </c>
      <c r="D186" s="87" t="inlineStr">
        <is>
          <t>Laptop</t>
        </is>
      </c>
      <c r="E186" s="87" t="inlineStr">
        <is>
          <t>Electronics</t>
        </is>
      </c>
      <c r="F186" s="87" t="inlineStr">
        <is>
          <t>North</t>
        </is>
      </c>
      <c r="G186" s="87" t="inlineStr">
        <is>
          <t>Sneha Patel</t>
        </is>
      </c>
      <c r="H186" s="86" t="n">
        <v>2</v>
      </c>
      <c r="I186" s="88" t="n">
        <v>55000</v>
      </c>
      <c r="J186" s="88" t="n">
        <v>110000</v>
      </c>
      <c r="K186" s="88" t="n">
        <v>73428</v>
      </c>
      <c r="L186" s="88" t="n">
        <v>36572</v>
      </c>
      <c r="M186" s="89" t="n">
        <v>33.25</v>
      </c>
    </row>
    <row r="187" ht="15" customHeight="1" s="65">
      <c r="A187" s="90" t="n">
        <v>1186</v>
      </c>
      <c r="B187" s="90" t="inlineStr">
        <is>
          <t>Oct</t>
        </is>
      </c>
      <c r="C187" s="90" t="inlineStr">
        <is>
          <t>Q4</t>
        </is>
      </c>
      <c r="D187" s="91" t="inlineStr">
        <is>
          <t>Earphones</t>
        </is>
      </c>
      <c r="E187" s="91" t="inlineStr">
        <is>
          <t>Electronics</t>
        </is>
      </c>
      <c r="F187" s="91" t="inlineStr">
        <is>
          <t>West</t>
        </is>
      </c>
      <c r="G187" s="91" t="inlineStr">
        <is>
          <t>Sneha Patel</t>
        </is>
      </c>
      <c r="H187" s="90" t="n">
        <v>1</v>
      </c>
      <c r="I187" s="92" t="n">
        <v>3500</v>
      </c>
      <c r="J187" s="92" t="n">
        <v>3500</v>
      </c>
      <c r="K187" s="92" t="n">
        <v>2020</v>
      </c>
      <c r="L187" s="92" t="n">
        <v>1480</v>
      </c>
      <c r="M187" s="93" t="n">
        <v>42.29</v>
      </c>
    </row>
    <row r="188" ht="15" customHeight="1" s="65">
      <c r="A188" s="86" t="n">
        <v>1187</v>
      </c>
      <c r="B188" s="86" t="inlineStr">
        <is>
          <t>Oct</t>
        </is>
      </c>
      <c r="C188" s="86" t="inlineStr">
        <is>
          <t>Q4</t>
        </is>
      </c>
      <c r="D188" s="87" t="inlineStr">
        <is>
          <t>Tablet</t>
        </is>
      </c>
      <c r="E188" s="87" t="inlineStr">
        <is>
          <t>Electronics</t>
        </is>
      </c>
      <c r="F188" s="87" t="inlineStr">
        <is>
          <t>West</t>
        </is>
      </c>
      <c r="G188" s="87" t="inlineStr">
        <is>
          <t>Rohit Verma</t>
        </is>
      </c>
      <c r="H188" s="86" t="n">
        <v>3</v>
      </c>
      <c r="I188" s="88" t="n">
        <v>25000</v>
      </c>
      <c r="J188" s="88" t="n">
        <v>75000</v>
      </c>
      <c r="K188" s="88" t="n">
        <v>50802</v>
      </c>
      <c r="L188" s="88" t="n">
        <v>24198</v>
      </c>
      <c r="M188" s="89" t="n">
        <v>32.26</v>
      </c>
    </row>
    <row r="189" ht="15" customHeight="1" s="65">
      <c r="A189" s="90" t="n">
        <v>1188</v>
      </c>
      <c r="B189" s="90" t="inlineStr">
        <is>
          <t>Oct</t>
        </is>
      </c>
      <c r="C189" s="90" t="inlineStr">
        <is>
          <t>Q4</t>
        </is>
      </c>
      <c r="D189" s="91" t="inlineStr">
        <is>
          <t>Laptop</t>
        </is>
      </c>
      <c r="E189" s="91" t="inlineStr">
        <is>
          <t>Electronics</t>
        </is>
      </c>
      <c r="F189" s="91" t="inlineStr">
        <is>
          <t>South</t>
        </is>
      </c>
      <c r="G189" s="91" t="inlineStr">
        <is>
          <t>Sneha Patel</t>
        </is>
      </c>
      <c r="H189" s="90" t="n">
        <v>8</v>
      </c>
      <c r="I189" s="92" t="n">
        <v>55000</v>
      </c>
      <c r="J189" s="92" t="n">
        <v>440000</v>
      </c>
      <c r="K189" s="92" t="n">
        <v>291054</v>
      </c>
      <c r="L189" s="92" t="n">
        <v>148946</v>
      </c>
      <c r="M189" s="93" t="n">
        <v>33.85</v>
      </c>
    </row>
    <row r="190" ht="15" customHeight="1" s="65">
      <c r="A190" s="86" t="n">
        <v>1189</v>
      </c>
      <c r="B190" s="86" t="inlineStr">
        <is>
          <t>Oct</t>
        </is>
      </c>
      <c r="C190" s="86" t="inlineStr">
        <is>
          <t>Q4</t>
        </is>
      </c>
      <c r="D190" s="87" t="inlineStr">
        <is>
          <t>Earphones</t>
        </is>
      </c>
      <c r="E190" s="87" t="inlineStr">
        <is>
          <t>Electronics</t>
        </is>
      </c>
      <c r="F190" s="87" t="inlineStr">
        <is>
          <t>North</t>
        </is>
      </c>
      <c r="G190" s="87" t="inlineStr">
        <is>
          <t>Rahul Sharma</t>
        </is>
      </c>
      <c r="H190" s="86" t="n">
        <v>13</v>
      </c>
      <c r="I190" s="88" t="n">
        <v>3500</v>
      </c>
      <c r="J190" s="88" t="n">
        <v>45500</v>
      </c>
      <c r="K190" s="88" t="n">
        <v>23430</v>
      </c>
      <c r="L190" s="88" t="n">
        <v>22070</v>
      </c>
      <c r="M190" s="89" t="n">
        <v>48.51</v>
      </c>
    </row>
    <row r="191" ht="15" customHeight="1" s="65">
      <c r="A191" s="90" t="n">
        <v>1190</v>
      </c>
      <c r="B191" s="90" t="inlineStr">
        <is>
          <t>Oct</t>
        </is>
      </c>
      <c r="C191" s="90" t="inlineStr">
        <is>
          <t>Q4</t>
        </is>
      </c>
      <c r="D191" s="91" t="inlineStr">
        <is>
          <t>Laptop</t>
        </is>
      </c>
      <c r="E191" s="91" t="inlineStr">
        <is>
          <t>Electronics</t>
        </is>
      </c>
      <c r="F191" s="91" t="inlineStr">
        <is>
          <t>West</t>
        </is>
      </c>
      <c r="G191" s="91" t="inlineStr">
        <is>
          <t>Kavita Joshi</t>
        </is>
      </c>
      <c r="H191" s="90" t="n">
        <v>3</v>
      </c>
      <c r="I191" s="92" t="n">
        <v>55000</v>
      </c>
      <c r="J191" s="92" t="n">
        <v>165000</v>
      </c>
      <c r="K191" s="92" t="n">
        <v>106388</v>
      </c>
      <c r="L191" s="92" t="n">
        <v>58612</v>
      </c>
      <c r="M191" s="93" t="n">
        <v>35.52</v>
      </c>
    </row>
    <row r="192" ht="15" customHeight="1" s="65">
      <c r="A192" s="86" t="n">
        <v>1191</v>
      </c>
      <c r="B192" s="86" t="inlineStr">
        <is>
          <t>Oct</t>
        </is>
      </c>
      <c r="C192" s="86" t="inlineStr">
        <is>
          <t>Q4</t>
        </is>
      </c>
      <c r="D192" s="87" t="inlineStr">
        <is>
          <t>Mobile</t>
        </is>
      </c>
      <c r="E192" s="87" t="inlineStr">
        <is>
          <t>Electronics</t>
        </is>
      </c>
      <c r="F192" s="87" t="inlineStr">
        <is>
          <t>South</t>
        </is>
      </c>
      <c r="G192" s="87" t="inlineStr">
        <is>
          <t>Vikas Rao</t>
        </is>
      </c>
      <c r="H192" s="86" t="n">
        <v>4</v>
      </c>
      <c r="I192" s="88" t="n">
        <v>18000</v>
      </c>
      <c r="J192" s="88" t="n">
        <v>72000</v>
      </c>
      <c r="K192" s="88" t="n">
        <v>43575</v>
      </c>
      <c r="L192" s="88" t="n">
        <v>28425</v>
      </c>
      <c r="M192" s="89" t="n">
        <v>39.48</v>
      </c>
    </row>
    <row r="193" ht="15" customHeight="1" s="65">
      <c r="A193" s="90" t="n">
        <v>1192</v>
      </c>
      <c r="B193" s="90" t="inlineStr">
        <is>
          <t>Oct</t>
        </is>
      </c>
      <c r="C193" s="90" t="inlineStr">
        <is>
          <t>Q4</t>
        </is>
      </c>
      <c r="D193" s="91" t="inlineStr">
        <is>
          <t>Mobile</t>
        </is>
      </c>
      <c r="E193" s="91" t="inlineStr">
        <is>
          <t>Electronics</t>
        </is>
      </c>
      <c r="F193" s="91" t="inlineStr">
        <is>
          <t>North</t>
        </is>
      </c>
      <c r="G193" s="91" t="inlineStr">
        <is>
          <t>Rohit Verma</t>
        </is>
      </c>
      <c r="H193" s="90" t="n">
        <v>2</v>
      </c>
      <c r="I193" s="92" t="n">
        <v>18000</v>
      </c>
      <c r="J193" s="92" t="n">
        <v>36000</v>
      </c>
      <c r="K193" s="92" t="n">
        <v>23256</v>
      </c>
      <c r="L193" s="92" t="n">
        <v>12744</v>
      </c>
      <c r="M193" s="93" t="n">
        <v>35.4</v>
      </c>
    </row>
    <row r="194" ht="15" customHeight="1" s="65">
      <c r="A194" s="86" t="n">
        <v>1193</v>
      </c>
      <c r="B194" s="86" t="inlineStr">
        <is>
          <t>Oct</t>
        </is>
      </c>
      <c r="C194" s="86" t="inlineStr">
        <is>
          <t>Q4</t>
        </is>
      </c>
      <c r="D194" s="87" t="inlineStr">
        <is>
          <t>Laptop</t>
        </is>
      </c>
      <c r="E194" s="87" t="inlineStr">
        <is>
          <t>Electronics</t>
        </is>
      </c>
      <c r="F194" s="87" t="inlineStr">
        <is>
          <t>East</t>
        </is>
      </c>
      <c r="G194" s="87" t="inlineStr">
        <is>
          <t>Rahul Sharma</t>
        </is>
      </c>
      <c r="H194" s="86" t="n">
        <v>10</v>
      </c>
      <c r="I194" s="88" t="n">
        <v>55000</v>
      </c>
      <c r="J194" s="88" t="n">
        <v>550000</v>
      </c>
      <c r="K194" s="88" t="n">
        <v>378034</v>
      </c>
      <c r="L194" s="88" t="n">
        <v>171966</v>
      </c>
      <c r="M194" s="89" t="n">
        <v>31.27</v>
      </c>
    </row>
    <row r="195" ht="15" customHeight="1" s="65">
      <c r="A195" s="90" t="n">
        <v>1194</v>
      </c>
      <c r="B195" s="90" t="inlineStr">
        <is>
          <t>Oct</t>
        </is>
      </c>
      <c r="C195" s="90" t="inlineStr">
        <is>
          <t>Q4</t>
        </is>
      </c>
      <c r="D195" s="91" t="inlineStr">
        <is>
          <t>Mobile</t>
        </is>
      </c>
      <c r="E195" s="91" t="inlineStr">
        <is>
          <t>Electronics</t>
        </is>
      </c>
      <c r="F195" s="91" t="inlineStr">
        <is>
          <t>South</t>
        </is>
      </c>
      <c r="G195" s="91" t="inlineStr">
        <is>
          <t>Neha Gupta</t>
        </is>
      </c>
      <c r="H195" s="90" t="n">
        <v>3</v>
      </c>
      <c r="I195" s="92" t="n">
        <v>18000</v>
      </c>
      <c r="J195" s="92" t="n">
        <v>54000</v>
      </c>
      <c r="K195" s="92" t="n">
        <v>35624</v>
      </c>
      <c r="L195" s="92" t="n">
        <v>18376</v>
      </c>
      <c r="M195" s="93" t="n">
        <v>34.03</v>
      </c>
    </row>
    <row r="196" ht="15" customHeight="1" s="65">
      <c r="A196" s="86" t="n">
        <v>1195</v>
      </c>
      <c r="B196" s="86" t="inlineStr">
        <is>
          <t>Oct</t>
        </is>
      </c>
      <c r="C196" s="86" t="inlineStr">
        <is>
          <t>Q4</t>
        </is>
      </c>
      <c r="D196" s="87" t="inlineStr">
        <is>
          <t>Earphones</t>
        </is>
      </c>
      <c r="E196" s="87" t="inlineStr">
        <is>
          <t>Electronics</t>
        </is>
      </c>
      <c r="F196" s="87" t="inlineStr">
        <is>
          <t>West</t>
        </is>
      </c>
      <c r="G196" s="87" t="inlineStr">
        <is>
          <t>Sneha Patel</t>
        </is>
      </c>
      <c r="H196" s="86" t="n">
        <v>4</v>
      </c>
      <c r="I196" s="88" t="n">
        <v>3500</v>
      </c>
      <c r="J196" s="88" t="n">
        <v>14000</v>
      </c>
      <c r="K196" s="88" t="n">
        <v>8181</v>
      </c>
      <c r="L196" s="88" t="n">
        <v>5819</v>
      </c>
      <c r="M196" s="89" t="n">
        <v>41.56</v>
      </c>
    </row>
    <row r="197" ht="15" customHeight="1" s="65">
      <c r="A197" s="90" t="n">
        <v>1196</v>
      </c>
      <c r="B197" s="90" t="inlineStr">
        <is>
          <t>Oct</t>
        </is>
      </c>
      <c r="C197" s="90" t="inlineStr">
        <is>
          <t>Q4</t>
        </is>
      </c>
      <c r="D197" s="91" t="inlineStr">
        <is>
          <t>Earphones</t>
        </is>
      </c>
      <c r="E197" s="91" t="inlineStr">
        <is>
          <t>Electronics</t>
        </is>
      </c>
      <c r="F197" s="91" t="inlineStr">
        <is>
          <t>South</t>
        </is>
      </c>
      <c r="G197" s="91" t="inlineStr">
        <is>
          <t>Rohit Verma</t>
        </is>
      </c>
      <c r="H197" s="90" t="n">
        <v>4</v>
      </c>
      <c r="I197" s="92" t="n">
        <v>3500</v>
      </c>
      <c r="J197" s="92" t="n">
        <v>14000</v>
      </c>
      <c r="K197" s="92" t="n">
        <v>7640</v>
      </c>
      <c r="L197" s="92" t="n">
        <v>6360</v>
      </c>
      <c r="M197" s="93" t="n">
        <v>45.43</v>
      </c>
    </row>
    <row r="198" ht="15" customHeight="1" s="65">
      <c r="A198" s="86" t="n">
        <v>1197</v>
      </c>
      <c r="B198" s="86" t="inlineStr">
        <is>
          <t>Nov</t>
        </is>
      </c>
      <c r="C198" s="86" t="inlineStr">
        <is>
          <t>Q4</t>
        </is>
      </c>
      <c r="D198" s="87" t="inlineStr">
        <is>
          <t>Mobile</t>
        </is>
      </c>
      <c r="E198" s="87" t="inlineStr">
        <is>
          <t>Electronics</t>
        </is>
      </c>
      <c r="F198" s="87" t="inlineStr">
        <is>
          <t>West</t>
        </is>
      </c>
      <c r="G198" s="87" t="inlineStr">
        <is>
          <t>Rahul Sharma</t>
        </is>
      </c>
      <c r="H198" s="86" t="n">
        <v>17</v>
      </c>
      <c r="I198" s="88" t="n">
        <v>18000</v>
      </c>
      <c r="J198" s="88" t="n">
        <v>306000</v>
      </c>
      <c r="K198" s="88" t="n">
        <v>182833</v>
      </c>
      <c r="L198" s="88" t="n">
        <v>123167</v>
      </c>
      <c r="M198" s="89" t="n">
        <v>40.25</v>
      </c>
    </row>
    <row r="199" ht="15" customHeight="1" s="65">
      <c r="A199" s="90" t="n">
        <v>1198</v>
      </c>
      <c r="B199" s="90" t="inlineStr">
        <is>
          <t>Nov</t>
        </is>
      </c>
      <c r="C199" s="90" t="inlineStr">
        <is>
          <t>Q4</t>
        </is>
      </c>
      <c r="D199" s="91" t="inlineStr">
        <is>
          <t>Mobile</t>
        </is>
      </c>
      <c r="E199" s="91" t="inlineStr">
        <is>
          <t>Electronics</t>
        </is>
      </c>
      <c r="F199" s="91" t="inlineStr">
        <is>
          <t>South</t>
        </is>
      </c>
      <c r="G199" s="91" t="inlineStr">
        <is>
          <t>Sneha Patel</t>
        </is>
      </c>
      <c r="H199" s="90" t="n">
        <v>2</v>
      </c>
      <c r="I199" s="92" t="n">
        <v>18000</v>
      </c>
      <c r="J199" s="92" t="n">
        <v>36000</v>
      </c>
      <c r="K199" s="92" t="n">
        <v>22475</v>
      </c>
      <c r="L199" s="92" t="n">
        <v>13525</v>
      </c>
      <c r="M199" s="93" t="n">
        <v>37.57</v>
      </c>
    </row>
    <row r="200" ht="15" customHeight="1" s="65">
      <c r="A200" s="86" t="n">
        <v>1199</v>
      </c>
      <c r="B200" s="86" t="inlineStr">
        <is>
          <t>Nov</t>
        </is>
      </c>
      <c r="C200" s="86" t="inlineStr">
        <is>
          <t>Q4</t>
        </is>
      </c>
      <c r="D200" s="87" t="inlineStr">
        <is>
          <t>Earphones</t>
        </is>
      </c>
      <c r="E200" s="87" t="inlineStr">
        <is>
          <t>Electronics</t>
        </is>
      </c>
      <c r="F200" s="87" t="inlineStr">
        <is>
          <t>North</t>
        </is>
      </c>
      <c r="G200" s="87" t="inlineStr">
        <is>
          <t>Sneha Patel</t>
        </is>
      </c>
      <c r="H200" s="86" t="n">
        <v>7</v>
      </c>
      <c r="I200" s="88" t="n">
        <v>3500</v>
      </c>
      <c r="J200" s="88" t="n">
        <v>24500</v>
      </c>
      <c r="K200" s="88" t="n">
        <v>14184</v>
      </c>
      <c r="L200" s="88" t="n">
        <v>10316</v>
      </c>
      <c r="M200" s="89" t="n">
        <v>42.11</v>
      </c>
    </row>
    <row r="201" ht="15" customHeight="1" s="65">
      <c r="A201" s="90" t="n">
        <v>1200</v>
      </c>
      <c r="B201" s="90" t="inlineStr">
        <is>
          <t>Nov</t>
        </is>
      </c>
      <c r="C201" s="90" t="inlineStr">
        <is>
          <t>Q4</t>
        </is>
      </c>
      <c r="D201" s="91" t="inlineStr">
        <is>
          <t>Mobile</t>
        </is>
      </c>
      <c r="E201" s="91" t="inlineStr">
        <is>
          <t>Electronics</t>
        </is>
      </c>
      <c r="F201" s="91" t="inlineStr">
        <is>
          <t>North</t>
        </is>
      </c>
      <c r="G201" s="91" t="inlineStr">
        <is>
          <t>Amit Kumar</t>
        </is>
      </c>
      <c r="H201" s="90" t="n">
        <v>1</v>
      </c>
      <c r="I201" s="92" t="n">
        <v>18000</v>
      </c>
      <c r="J201" s="92" t="n">
        <v>18000</v>
      </c>
      <c r="K201" s="92" t="n">
        <v>10798</v>
      </c>
      <c r="L201" s="92" t="n">
        <v>7202</v>
      </c>
      <c r="M201" s="93" t="n">
        <v>40.01</v>
      </c>
    </row>
    <row r="202" ht="15" customHeight="1" s="65">
      <c r="A202" s="86" t="n">
        <v>1201</v>
      </c>
      <c r="B202" s="86" t="inlineStr">
        <is>
          <t>Nov</t>
        </is>
      </c>
      <c r="C202" s="86" t="inlineStr">
        <is>
          <t>Q4</t>
        </is>
      </c>
      <c r="D202" s="87" t="inlineStr">
        <is>
          <t>Laptop</t>
        </is>
      </c>
      <c r="E202" s="87" t="inlineStr">
        <is>
          <t>Electronics</t>
        </is>
      </c>
      <c r="F202" s="87" t="inlineStr">
        <is>
          <t>North</t>
        </is>
      </c>
      <c r="G202" s="87" t="inlineStr">
        <is>
          <t>Rahul Sharma</t>
        </is>
      </c>
      <c r="H202" s="86" t="n">
        <v>17</v>
      </c>
      <c r="I202" s="88" t="n">
        <v>55000</v>
      </c>
      <c r="J202" s="88" t="n">
        <v>935000</v>
      </c>
      <c r="K202" s="88" t="n">
        <v>662751</v>
      </c>
      <c r="L202" s="88" t="n">
        <v>272249</v>
      </c>
      <c r="M202" s="89" t="n">
        <v>29.12</v>
      </c>
    </row>
    <row r="203" ht="15" customHeight="1" s="65">
      <c r="A203" s="90" t="n">
        <v>1202</v>
      </c>
      <c r="B203" s="90" t="inlineStr">
        <is>
          <t>Nov</t>
        </is>
      </c>
      <c r="C203" s="90" t="inlineStr">
        <is>
          <t>Q4</t>
        </is>
      </c>
      <c r="D203" s="91" t="inlineStr">
        <is>
          <t>Mobile</t>
        </is>
      </c>
      <c r="E203" s="91" t="inlineStr">
        <is>
          <t>Electronics</t>
        </is>
      </c>
      <c r="F203" s="91" t="inlineStr">
        <is>
          <t>West</t>
        </is>
      </c>
      <c r="G203" s="91" t="inlineStr">
        <is>
          <t>Neha Gupta</t>
        </is>
      </c>
      <c r="H203" s="90" t="n">
        <v>8</v>
      </c>
      <c r="I203" s="92" t="n">
        <v>18000</v>
      </c>
      <c r="J203" s="92" t="n">
        <v>144000</v>
      </c>
      <c r="K203" s="92" t="n">
        <v>85526</v>
      </c>
      <c r="L203" s="92" t="n">
        <v>58474</v>
      </c>
      <c r="M203" s="93" t="n">
        <v>40.61</v>
      </c>
    </row>
    <row r="204" ht="15" customHeight="1" s="65">
      <c r="A204" s="86" t="n">
        <v>1203</v>
      </c>
      <c r="B204" s="86" t="inlineStr">
        <is>
          <t>Nov</t>
        </is>
      </c>
      <c r="C204" s="86" t="inlineStr">
        <is>
          <t>Q4</t>
        </is>
      </c>
      <c r="D204" s="87" t="inlineStr">
        <is>
          <t>Mobile</t>
        </is>
      </c>
      <c r="E204" s="87" t="inlineStr">
        <is>
          <t>Electronics</t>
        </is>
      </c>
      <c r="F204" s="87" t="inlineStr">
        <is>
          <t>North</t>
        </is>
      </c>
      <c r="G204" s="87" t="inlineStr">
        <is>
          <t>Amit Kumar</t>
        </is>
      </c>
      <c r="H204" s="86" t="n">
        <v>11</v>
      </c>
      <c r="I204" s="88" t="n">
        <v>18000</v>
      </c>
      <c r="J204" s="88" t="n">
        <v>198000</v>
      </c>
      <c r="K204" s="88" t="n">
        <v>117944</v>
      </c>
      <c r="L204" s="88" t="n">
        <v>80056</v>
      </c>
      <c r="M204" s="89" t="n">
        <v>40.43</v>
      </c>
    </row>
    <row r="205" ht="15" customHeight="1" s="65">
      <c r="A205" s="90" t="n">
        <v>1204</v>
      </c>
      <c r="B205" s="90" t="inlineStr">
        <is>
          <t>Nov</t>
        </is>
      </c>
      <c r="C205" s="90" t="inlineStr">
        <is>
          <t>Q4</t>
        </is>
      </c>
      <c r="D205" s="91" t="inlineStr">
        <is>
          <t>Tablet</t>
        </is>
      </c>
      <c r="E205" s="91" t="inlineStr">
        <is>
          <t>Electronics</t>
        </is>
      </c>
      <c r="F205" s="91" t="inlineStr">
        <is>
          <t>West</t>
        </is>
      </c>
      <c r="G205" s="91" t="inlineStr">
        <is>
          <t>Neha Gupta</t>
        </is>
      </c>
      <c r="H205" s="90" t="n">
        <v>4</v>
      </c>
      <c r="I205" s="92" t="n">
        <v>25000</v>
      </c>
      <c r="J205" s="92" t="n">
        <v>100000</v>
      </c>
      <c r="K205" s="92" t="n">
        <v>66512</v>
      </c>
      <c r="L205" s="92" t="n">
        <v>33488</v>
      </c>
      <c r="M205" s="93" t="n">
        <v>33.49</v>
      </c>
    </row>
    <row r="206" ht="15" customHeight="1" s="65">
      <c r="A206" s="86" t="n">
        <v>1205</v>
      </c>
      <c r="B206" s="86" t="inlineStr">
        <is>
          <t>Nov</t>
        </is>
      </c>
      <c r="C206" s="86" t="inlineStr">
        <is>
          <t>Q4</t>
        </is>
      </c>
      <c r="D206" s="87" t="inlineStr">
        <is>
          <t>Earphones</t>
        </is>
      </c>
      <c r="E206" s="87" t="inlineStr">
        <is>
          <t>Electronics</t>
        </is>
      </c>
      <c r="F206" s="87" t="inlineStr">
        <is>
          <t>South</t>
        </is>
      </c>
      <c r="G206" s="87" t="inlineStr">
        <is>
          <t>Rahul Sharma</t>
        </is>
      </c>
      <c r="H206" s="86" t="n">
        <v>14</v>
      </c>
      <c r="I206" s="88" t="n">
        <v>3500</v>
      </c>
      <c r="J206" s="88" t="n">
        <v>49000</v>
      </c>
      <c r="K206" s="88" t="n">
        <v>25838</v>
      </c>
      <c r="L206" s="88" t="n">
        <v>23162</v>
      </c>
      <c r="M206" s="89" t="n">
        <v>47.27</v>
      </c>
    </row>
    <row r="207" ht="15" customHeight="1" s="65">
      <c r="A207" s="90" t="n">
        <v>1206</v>
      </c>
      <c r="B207" s="90" t="inlineStr">
        <is>
          <t>Nov</t>
        </is>
      </c>
      <c r="C207" s="90" t="inlineStr">
        <is>
          <t>Q4</t>
        </is>
      </c>
      <c r="D207" s="91" t="inlineStr">
        <is>
          <t>Mobile</t>
        </is>
      </c>
      <c r="E207" s="91" t="inlineStr">
        <is>
          <t>Electronics</t>
        </is>
      </c>
      <c r="F207" s="91" t="inlineStr">
        <is>
          <t>South</t>
        </is>
      </c>
      <c r="G207" s="91" t="inlineStr">
        <is>
          <t>Neha Gupta</t>
        </is>
      </c>
      <c r="H207" s="90" t="n">
        <v>16</v>
      </c>
      <c r="I207" s="92" t="n">
        <v>18000</v>
      </c>
      <c r="J207" s="92" t="n">
        <v>288000</v>
      </c>
      <c r="K207" s="92" t="n">
        <v>182058</v>
      </c>
      <c r="L207" s="92" t="n">
        <v>105942</v>
      </c>
      <c r="M207" s="93" t="n">
        <v>36.79</v>
      </c>
    </row>
    <row r="208" ht="15" customHeight="1" s="65">
      <c r="A208" s="86" t="n">
        <v>1207</v>
      </c>
      <c r="B208" s="86" t="inlineStr">
        <is>
          <t>Nov</t>
        </is>
      </c>
      <c r="C208" s="86" t="inlineStr">
        <is>
          <t>Q4</t>
        </is>
      </c>
      <c r="D208" s="87" t="inlineStr">
        <is>
          <t>Tablet</t>
        </is>
      </c>
      <c r="E208" s="87" t="inlineStr">
        <is>
          <t>Electronics</t>
        </is>
      </c>
      <c r="F208" s="87" t="inlineStr">
        <is>
          <t>North</t>
        </is>
      </c>
      <c r="G208" s="87" t="inlineStr">
        <is>
          <t>Rohit Verma</t>
        </is>
      </c>
      <c r="H208" s="86" t="n">
        <v>17</v>
      </c>
      <c r="I208" s="88" t="n">
        <v>25000</v>
      </c>
      <c r="J208" s="88" t="n">
        <v>425000</v>
      </c>
      <c r="K208" s="88" t="n">
        <v>266437</v>
      </c>
      <c r="L208" s="88" t="n">
        <v>158563</v>
      </c>
      <c r="M208" s="89" t="n">
        <v>37.31</v>
      </c>
    </row>
    <row r="209" ht="15" customHeight="1" s="65">
      <c r="A209" s="90" t="n">
        <v>1208</v>
      </c>
      <c r="B209" s="90" t="inlineStr">
        <is>
          <t>Nov</t>
        </is>
      </c>
      <c r="C209" s="90" t="inlineStr">
        <is>
          <t>Q4</t>
        </is>
      </c>
      <c r="D209" s="91" t="inlineStr">
        <is>
          <t>Laptop</t>
        </is>
      </c>
      <c r="E209" s="91" t="inlineStr">
        <is>
          <t>Electronics</t>
        </is>
      </c>
      <c r="F209" s="91" t="inlineStr">
        <is>
          <t>South</t>
        </is>
      </c>
      <c r="G209" s="91" t="inlineStr">
        <is>
          <t>Priya Singh</t>
        </is>
      </c>
      <c r="H209" s="90" t="n">
        <v>4</v>
      </c>
      <c r="I209" s="92" t="n">
        <v>55000</v>
      </c>
      <c r="J209" s="92" t="n">
        <v>220000</v>
      </c>
      <c r="K209" s="92" t="n">
        <v>144351</v>
      </c>
      <c r="L209" s="92" t="n">
        <v>75649</v>
      </c>
      <c r="M209" s="93" t="n">
        <v>34.39</v>
      </c>
    </row>
    <row r="210" ht="15" customHeight="1" s="65">
      <c r="A210" s="86" t="n">
        <v>1209</v>
      </c>
      <c r="B210" s="86" t="inlineStr">
        <is>
          <t>Nov</t>
        </is>
      </c>
      <c r="C210" s="86" t="inlineStr">
        <is>
          <t>Q4</t>
        </is>
      </c>
      <c r="D210" s="87" t="inlineStr">
        <is>
          <t>Mobile</t>
        </is>
      </c>
      <c r="E210" s="87" t="inlineStr">
        <is>
          <t>Electronics</t>
        </is>
      </c>
      <c r="F210" s="87" t="inlineStr">
        <is>
          <t>South</t>
        </is>
      </c>
      <c r="G210" s="87" t="inlineStr">
        <is>
          <t>Priya Singh</t>
        </is>
      </c>
      <c r="H210" s="86" t="n">
        <v>13</v>
      </c>
      <c r="I210" s="88" t="n">
        <v>18000</v>
      </c>
      <c r="J210" s="88" t="n">
        <v>234000</v>
      </c>
      <c r="K210" s="88" t="n">
        <v>152751</v>
      </c>
      <c r="L210" s="88" t="n">
        <v>81249</v>
      </c>
      <c r="M210" s="89" t="n">
        <v>34.72</v>
      </c>
    </row>
    <row r="211" ht="15" customHeight="1" s="65">
      <c r="A211" s="90" t="n">
        <v>1210</v>
      </c>
      <c r="B211" s="90" t="inlineStr">
        <is>
          <t>Nov</t>
        </is>
      </c>
      <c r="C211" s="90" t="inlineStr">
        <is>
          <t>Q4</t>
        </is>
      </c>
      <c r="D211" s="91" t="inlineStr">
        <is>
          <t>Earphones</t>
        </is>
      </c>
      <c r="E211" s="91" t="inlineStr">
        <is>
          <t>Electronics</t>
        </is>
      </c>
      <c r="F211" s="91" t="inlineStr">
        <is>
          <t>North</t>
        </is>
      </c>
      <c r="G211" s="91" t="inlineStr">
        <is>
          <t>Sneha Patel</t>
        </is>
      </c>
      <c r="H211" s="90" t="n">
        <v>5</v>
      </c>
      <c r="I211" s="92" t="n">
        <v>3500</v>
      </c>
      <c r="J211" s="92" t="n">
        <v>17500</v>
      </c>
      <c r="K211" s="92" t="n">
        <v>10091</v>
      </c>
      <c r="L211" s="92" t="n">
        <v>7409</v>
      </c>
      <c r="M211" s="93" t="n">
        <v>42.34</v>
      </c>
    </row>
    <row r="212" ht="15" customHeight="1" s="65">
      <c r="A212" s="86" t="n">
        <v>1211</v>
      </c>
      <c r="B212" s="86" t="inlineStr">
        <is>
          <t>Nov</t>
        </is>
      </c>
      <c r="C212" s="86" t="inlineStr">
        <is>
          <t>Q4</t>
        </is>
      </c>
      <c r="D212" s="87" t="inlineStr">
        <is>
          <t>Earphones</t>
        </is>
      </c>
      <c r="E212" s="87" t="inlineStr">
        <is>
          <t>Electronics</t>
        </is>
      </c>
      <c r="F212" s="87" t="inlineStr">
        <is>
          <t>East</t>
        </is>
      </c>
      <c r="G212" s="87" t="inlineStr">
        <is>
          <t>Kavita Joshi</t>
        </is>
      </c>
      <c r="H212" s="86" t="n">
        <v>12</v>
      </c>
      <c r="I212" s="88" t="n">
        <v>3500</v>
      </c>
      <c r="J212" s="88" t="n">
        <v>42000</v>
      </c>
      <c r="K212" s="88" t="n">
        <v>23464</v>
      </c>
      <c r="L212" s="88" t="n">
        <v>18536</v>
      </c>
      <c r="M212" s="89" t="n">
        <v>44.13</v>
      </c>
    </row>
    <row r="213" ht="15" customHeight="1" s="65">
      <c r="A213" s="90" t="n">
        <v>1212</v>
      </c>
      <c r="B213" s="90" t="inlineStr">
        <is>
          <t>Nov</t>
        </is>
      </c>
      <c r="C213" s="90" t="inlineStr">
        <is>
          <t>Q4</t>
        </is>
      </c>
      <c r="D213" s="91" t="inlineStr">
        <is>
          <t>Tablet</t>
        </is>
      </c>
      <c r="E213" s="91" t="inlineStr">
        <is>
          <t>Electronics</t>
        </is>
      </c>
      <c r="F213" s="91" t="inlineStr">
        <is>
          <t>East</t>
        </is>
      </c>
      <c r="G213" s="91" t="inlineStr">
        <is>
          <t>Vikas Rao</t>
        </is>
      </c>
      <c r="H213" s="90" t="n">
        <v>10</v>
      </c>
      <c r="I213" s="92" t="n">
        <v>25000</v>
      </c>
      <c r="J213" s="92" t="n">
        <v>250000</v>
      </c>
      <c r="K213" s="92" t="n">
        <v>161326</v>
      </c>
      <c r="L213" s="92" t="n">
        <v>88674</v>
      </c>
      <c r="M213" s="93" t="n">
        <v>35.47</v>
      </c>
    </row>
    <row r="214" ht="15" customHeight="1" s="65">
      <c r="A214" s="86" t="n">
        <v>1213</v>
      </c>
      <c r="B214" s="86" t="inlineStr">
        <is>
          <t>Nov</t>
        </is>
      </c>
      <c r="C214" s="86" t="inlineStr">
        <is>
          <t>Q4</t>
        </is>
      </c>
      <c r="D214" s="87" t="inlineStr">
        <is>
          <t>Tablet</t>
        </is>
      </c>
      <c r="E214" s="87" t="inlineStr">
        <is>
          <t>Electronics</t>
        </is>
      </c>
      <c r="F214" s="87" t="inlineStr">
        <is>
          <t>East</t>
        </is>
      </c>
      <c r="G214" s="87" t="inlineStr">
        <is>
          <t>Kavita Joshi</t>
        </is>
      </c>
      <c r="H214" s="86" t="n">
        <v>10</v>
      </c>
      <c r="I214" s="88" t="n">
        <v>25000</v>
      </c>
      <c r="J214" s="88" t="n">
        <v>250000</v>
      </c>
      <c r="K214" s="88" t="n">
        <v>159385</v>
      </c>
      <c r="L214" s="88" t="n">
        <v>90615</v>
      </c>
      <c r="M214" s="89" t="n">
        <v>36.25</v>
      </c>
    </row>
    <row r="215" ht="15" customHeight="1" s="65">
      <c r="A215" s="90" t="n">
        <v>1214</v>
      </c>
      <c r="B215" s="90" t="inlineStr">
        <is>
          <t>Nov</t>
        </is>
      </c>
      <c r="C215" s="90" t="inlineStr">
        <is>
          <t>Q4</t>
        </is>
      </c>
      <c r="D215" s="91" t="inlineStr">
        <is>
          <t>Smart Watch</t>
        </is>
      </c>
      <c r="E215" s="91" t="inlineStr">
        <is>
          <t>Electronics</t>
        </is>
      </c>
      <c r="F215" s="91" t="inlineStr">
        <is>
          <t>South</t>
        </is>
      </c>
      <c r="G215" s="91" t="inlineStr">
        <is>
          <t>Sneha Patel</t>
        </is>
      </c>
      <c r="H215" s="90" t="n">
        <v>12</v>
      </c>
      <c r="I215" s="92" t="n">
        <v>12000</v>
      </c>
      <c r="J215" s="92" t="n">
        <v>144000</v>
      </c>
      <c r="K215" s="92" t="n">
        <v>87643</v>
      </c>
      <c r="L215" s="92" t="n">
        <v>56357</v>
      </c>
      <c r="M215" s="93" t="n">
        <v>39.14</v>
      </c>
    </row>
    <row r="216" ht="15" customHeight="1" s="65">
      <c r="A216" s="86" t="n">
        <v>1215</v>
      </c>
      <c r="B216" s="86" t="inlineStr">
        <is>
          <t>Nov</t>
        </is>
      </c>
      <c r="C216" s="86" t="inlineStr">
        <is>
          <t>Q4</t>
        </is>
      </c>
      <c r="D216" s="87" t="inlineStr">
        <is>
          <t>Laptop</t>
        </is>
      </c>
      <c r="E216" s="87" t="inlineStr">
        <is>
          <t>Electronics</t>
        </is>
      </c>
      <c r="F216" s="87" t="inlineStr">
        <is>
          <t>North</t>
        </is>
      </c>
      <c r="G216" s="87" t="inlineStr">
        <is>
          <t>Priya Singh</t>
        </is>
      </c>
      <c r="H216" s="86" t="n">
        <v>4</v>
      </c>
      <c r="I216" s="88" t="n">
        <v>55000</v>
      </c>
      <c r="J216" s="88" t="n">
        <v>220000</v>
      </c>
      <c r="K216" s="88" t="n">
        <v>151400</v>
      </c>
      <c r="L216" s="88" t="n">
        <v>68600</v>
      </c>
      <c r="M216" s="89" t="n">
        <v>31.18</v>
      </c>
    </row>
    <row r="217" ht="15" customHeight="1" s="65">
      <c r="A217" s="90" t="n">
        <v>1216</v>
      </c>
      <c r="B217" s="90" t="inlineStr">
        <is>
          <t>Nov</t>
        </is>
      </c>
      <c r="C217" s="90" t="inlineStr">
        <is>
          <t>Q4</t>
        </is>
      </c>
      <c r="D217" s="91" t="inlineStr">
        <is>
          <t>Earphones</t>
        </is>
      </c>
      <c r="E217" s="91" t="inlineStr">
        <is>
          <t>Electronics</t>
        </is>
      </c>
      <c r="F217" s="91" t="inlineStr">
        <is>
          <t>South</t>
        </is>
      </c>
      <c r="G217" s="91" t="inlineStr">
        <is>
          <t>Rohit Verma</t>
        </is>
      </c>
      <c r="H217" s="90" t="n">
        <v>14</v>
      </c>
      <c r="I217" s="92" t="n">
        <v>3500</v>
      </c>
      <c r="J217" s="92" t="n">
        <v>49000</v>
      </c>
      <c r="K217" s="92" t="n">
        <v>26131</v>
      </c>
      <c r="L217" s="92" t="n">
        <v>22869</v>
      </c>
      <c r="M217" s="93" t="n">
        <v>46.67</v>
      </c>
    </row>
    <row r="218" ht="15" customHeight="1" s="65">
      <c r="A218" s="86" t="n">
        <v>1217</v>
      </c>
      <c r="B218" s="86" t="inlineStr">
        <is>
          <t>Nov</t>
        </is>
      </c>
      <c r="C218" s="86" t="inlineStr">
        <is>
          <t>Q4</t>
        </is>
      </c>
      <c r="D218" s="87" t="inlineStr">
        <is>
          <t>Laptop</t>
        </is>
      </c>
      <c r="E218" s="87" t="inlineStr">
        <is>
          <t>Electronics</t>
        </is>
      </c>
      <c r="F218" s="87" t="inlineStr">
        <is>
          <t>South</t>
        </is>
      </c>
      <c r="G218" s="87" t="inlineStr">
        <is>
          <t>Neha Gupta</t>
        </is>
      </c>
      <c r="H218" s="86" t="n">
        <v>13</v>
      </c>
      <c r="I218" s="88" t="n">
        <v>55000</v>
      </c>
      <c r="J218" s="88" t="n">
        <v>715000</v>
      </c>
      <c r="K218" s="88" t="n">
        <v>460589</v>
      </c>
      <c r="L218" s="88" t="n">
        <v>254411</v>
      </c>
      <c r="M218" s="89" t="n">
        <v>35.58</v>
      </c>
    </row>
    <row r="219" ht="15" customHeight="1" s="65">
      <c r="A219" s="90" t="n">
        <v>1218</v>
      </c>
      <c r="B219" s="90" t="inlineStr">
        <is>
          <t>Nov</t>
        </is>
      </c>
      <c r="C219" s="90" t="inlineStr">
        <is>
          <t>Q4</t>
        </is>
      </c>
      <c r="D219" s="91" t="inlineStr">
        <is>
          <t>Tablet</t>
        </is>
      </c>
      <c r="E219" s="91" t="inlineStr">
        <is>
          <t>Electronics</t>
        </is>
      </c>
      <c r="F219" s="91" t="inlineStr">
        <is>
          <t>West</t>
        </is>
      </c>
      <c r="G219" s="91" t="inlineStr">
        <is>
          <t>Vikas Rao</t>
        </is>
      </c>
      <c r="H219" s="90" t="n">
        <v>8</v>
      </c>
      <c r="I219" s="92" t="n">
        <v>25000</v>
      </c>
      <c r="J219" s="92" t="n">
        <v>200000</v>
      </c>
      <c r="K219" s="92" t="n">
        <v>124123</v>
      </c>
      <c r="L219" s="92" t="n">
        <v>75877</v>
      </c>
      <c r="M219" s="93" t="n">
        <v>37.94</v>
      </c>
    </row>
    <row r="220" ht="15" customHeight="1" s="65">
      <c r="A220" s="86" t="n">
        <v>1219</v>
      </c>
      <c r="B220" s="86" t="inlineStr">
        <is>
          <t>Nov</t>
        </is>
      </c>
      <c r="C220" s="86" t="inlineStr">
        <is>
          <t>Q4</t>
        </is>
      </c>
      <c r="D220" s="87" t="inlineStr">
        <is>
          <t>Mobile</t>
        </is>
      </c>
      <c r="E220" s="87" t="inlineStr">
        <is>
          <t>Electronics</t>
        </is>
      </c>
      <c r="F220" s="87" t="inlineStr">
        <is>
          <t>West</t>
        </is>
      </c>
      <c r="G220" s="87" t="inlineStr">
        <is>
          <t>Neha Gupta</t>
        </is>
      </c>
      <c r="H220" s="86" t="n">
        <v>14</v>
      </c>
      <c r="I220" s="88" t="n">
        <v>18000</v>
      </c>
      <c r="J220" s="88" t="n">
        <v>252000</v>
      </c>
      <c r="K220" s="88" t="n">
        <v>163330</v>
      </c>
      <c r="L220" s="88" t="n">
        <v>88670</v>
      </c>
      <c r="M220" s="89" t="n">
        <v>35.19</v>
      </c>
    </row>
    <row r="221" ht="15" customHeight="1" s="65">
      <c r="A221" s="90" t="n">
        <v>1220</v>
      </c>
      <c r="B221" s="90" t="inlineStr">
        <is>
          <t>Nov</t>
        </is>
      </c>
      <c r="C221" s="90" t="inlineStr">
        <is>
          <t>Q4</t>
        </is>
      </c>
      <c r="D221" s="91" t="inlineStr">
        <is>
          <t>Smart Watch</t>
        </is>
      </c>
      <c r="E221" s="91" t="inlineStr">
        <is>
          <t>Electronics</t>
        </is>
      </c>
      <c r="F221" s="91" t="inlineStr">
        <is>
          <t>South</t>
        </is>
      </c>
      <c r="G221" s="91" t="inlineStr">
        <is>
          <t>Sneha Patel</t>
        </is>
      </c>
      <c r="H221" s="90" t="n">
        <v>5</v>
      </c>
      <c r="I221" s="92" t="n">
        <v>12000</v>
      </c>
      <c r="J221" s="92" t="n">
        <v>60000</v>
      </c>
      <c r="K221" s="92" t="n">
        <v>36807</v>
      </c>
      <c r="L221" s="92" t="n">
        <v>23193</v>
      </c>
      <c r="M221" s="93" t="n">
        <v>38.66</v>
      </c>
    </row>
    <row r="222" ht="15" customHeight="1" s="65">
      <c r="A222" s="86" t="n">
        <v>1221</v>
      </c>
      <c r="B222" s="86" t="inlineStr">
        <is>
          <t>Nov</t>
        </is>
      </c>
      <c r="C222" s="86" t="inlineStr">
        <is>
          <t>Q4</t>
        </is>
      </c>
      <c r="D222" s="87" t="inlineStr">
        <is>
          <t>Mobile</t>
        </is>
      </c>
      <c r="E222" s="87" t="inlineStr">
        <is>
          <t>Electronics</t>
        </is>
      </c>
      <c r="F222" s="87" t="inlineStr">
        <is>
          <t>East</t>
        </is>
      </c>
      <c r="G222" s="87" t="inlineStr">
        <is>
          <t>Priya Singh</t>
        </is>
      </c>
      <c r="H222" s="86" t="n">
        <v>13</v>
      </c>
      <c r="I222" s="88" t="n">
        <v>18000</v>
      </c>
      <c r="J222" s="88" t="n">
        <v>234000</v>
      </c>
      <c r="K222" s="88" t="n">
        <v>150817</v>
      </c>
      <c r="L222" s="88" t="n">
        <v>83183</v>
      </c>
      <c r="M222" s="89" t="n">
        <v>35.55</v>
      </c>
    </row>
    <row r="223" ht="15" customHeight="1" s="65">
      <c r="A223" s="90" t="n">
        <v>1222</v>
      </c>
      <c r="B223" s="90" t="inlineStr">
        <is>
          <t>Nov</t>
        </is>
      </c>
      <c r="C223" s="90" t="inlineStr">
        <is>
          <t>Q4</t>
        </is>
      </c>
      <c r="D223" s="91" t="inlineStr">
        <is>
          <t>Earphones</t>
        </is>
      </c>
      <c r="E223" s="91" t="inlineStr">
        <is>
          <t>Electronics</t>
        </is>
      </c>
      <c r="F223" s="91" t="inlineStr">
        <is>
          <t>North</t>
        </is>
      </c>
      <c r="G223" s="91" t="inlineStr">
        <is>
          <t>Vikas Rao</t>
        </is>
      </c>
      <c r="H223" s="90" t="n">
        <v>16</v>
      </c>
      <c r="I223" s="92" t="n">
        <v>3500</v>
      </c>
      <c r="J223" s="92" t="n">
        <v>56000</v>
      </c>
      <c r="K223" s="92" t="n">
        <v>29712</v>
      </c>
      <c r="L223" s="92" t="n">
        <v>26288</v>
      </c>
      <c r="M223" s="93" t="n">
        <v>46.94</v>
      </c>
    </row>
    <row r="224" ht="15" customHeight="1" s="65">
      <c r="A224" s="86" t="n">
        <v>1223</v>
      </c>
      <c r="B224" s="86" t="inlineStr">
        <is>
          <t>Nov</t>
        </is>
      </c>
      <c r="C224" s="86" t="inlineStr">
        <is>
          <t>Q4</t>
        </is>
      </c>
      <c r="D224" s="87" t="inlineStr">
        <is>
          <t>Smart Watch</t>
        </is>
      </c>
      <c r="E224" s="87" t="inlineStr">
        <is>
          <t>Electronics</t>
        </is>
      </c>
      <c r="F224" s="87" t="inlineStr">
        <is>
          <t>West</t>
        </is>
      </c>
      <c r="G224" s="87" t="inlineStr">
        <is>
          <t>Sneha Patel</t>
        </is>
      </c>
      <c r="H224" s="86" t="n">
        <v>14</v>
      </c>
      <c r="I224" s="88" t="n">
        <v>12000</v>
      </c>
      <c r="J224" s="88" t="n">
        <v>168000</v>
      </c>
      <c r="K224" s="88" t="n">
        <v>98169</v>
      </c>
      <c r="L224" s="88" t="n">
        <v>69831</v>
      </c>
      <c r="M224" s="89" t="n">
        <v>41.57</v>
      </c>
    </row>
    <row r="225" ht="15" customHeight="1" s="65">
      <c r="A225" s="90" t="n">
        <v>1224</v>
      </c>
      <c r="B225" s="90" t="inlineStr">
        <is>
          <t>Nov</t>
        </is>
      </c>
      <c r="C225" s="90" t="inlineStr">
        <is>
          <t>Q4</t>
        </is>
      </c>
      <c r="D225" s="91" t="inlineStr">
        <is>
          <t>Laptop</t>
        </is>
      </c>
      <c r="E225" s="91" t="inlineStr">
        <is>
          <t>Electronics</t>
        </is>
      </c>
      <c r="F225" s="91" t="inlineStr">
        <is>
          <t>South</t>
        </is>
      </c>
      <c r="G225" s="91" t="inlineStr">
        <is>
          <t>Rahul Sharma</t>
        </is>
      </c>
      <c r="H225" s="90" t="n">
        <v>8</v>
      </c>
      <c r="I225" s="92" t="n">
        <v>55000</v>
      </c>
      <c r="J225" s="92" t="n">
        <v>440000</v>
      </c>
      <c r="K225" s="92" t="n">
        <v>282102</v>
      </c>
      <c r="L225" s="92" t="n">
        <v>157898</v>
      </c>
      <c r="M225" s="93" t="n">
        <v>35.89</v>
      </c>
    </row>
    <row r="226" ht="15" customHeight="1" s="65">
      <c r="A226" s="86" t="n">
        <v>1225</v>
      </c>
      <c r="B226" s="86" t="inlineStr">
        <is>
          <t>Nov</t>
        </is>
      </c>
      <c r="C226" s="86" t="inlineStr">
        <is>
          <t>Q4</t>
        </is>
      </c>
      <c r="D226" s="87" t="inlineStr">
        <is>
          <t>Smart Watch</t>
        </is>
      </c>
      <c r="E226" s="87" t="inlineStr">
        <is>
          <t>Electronics</t>
        </is>
      </c>
      <c r="F226" s="87" t="inlineStr">
        <is>
          <t>West</t>
        </is>
      </c>
      <c r="G226" s="87" t="inlineStr">
        <is>
          <t>Vikas Rao</t>
        </is>
      </c>
      <c r="H226" s="86" t="n">
        <v>12</v>
      </c>
      <c r="I226" s="88" t="n">
        <v>12000</v>
      </c>
      <c r="J226" s="88" t="n">
        <v>144000</v>
      </c>
      <c r="K226" s="88" t="n">
        <v>81678</v>
      </c>
      <c r="L226" s="88" t="n">
        <v>62322</v>
      </c>
      <c r="M226" s="89" t="n">
        <v>43.28</v>
      </c>
    </row>
    <row r="227" ht="15" customHeight="1" s="65">
      <c r="A227" s="90" t="n">
        <v>1226</v>
      </c>
      <c r="B227" s="90" t="inlineStr">
        <is>
          <t>Dec</t>
        </is>
      </c>
      <c r="C227" s="90" t="inlineStr">
        <is>
          <t>Q4</t>
        </is>
      </c>
      <c r="D227" s="91" t="inlineStr">
        <is>
          <t>Mobile</t>
        </is>
      </c>
      <c r="E227" s="91" t="inlineStr">
        <is>
          <t>Electronics</t>
        </is>
      </c>
      <c r="F227" s="91" t="inlineStr">
        <is>
          <t>South</t>
        </is>
      </c>
      <c r="G227" s="91" t="inlineStr">
        <is>
          <t>Amit Kumar</t>
        </is>
      </c>
      <c r="H227" s="90" t="n">
        <v>11</v>
      </c>
      <c r="I227" s="92" t="n">
        <v>18000</v>
      </c>
      <c r="J227" s="92" t="n">
        <v>198000</v>
      </c>
      <c r="K227" s="92" t="n">
        <v>120733</v>
      </c>
      <c r="L227" s="92" t="n">
        <v>77267</v>
      </c>
      <c r="M227" s="93" t="n">
        <v>39.02</v>
      </c>
    </row>
    <row r="228" ht="15" customHeight="1" s="65">
      <c r="A228" s="86" t="n">
        <v>1227</v>
      </c>
      <c r="B228" s="86" t="inlineStr">
        <is>
          <t>Dec</t>
        </is>
      </c>
      <c r="C228" s="86" t="inlineStr">
        <is>
          <t>Q4</t>
        </is>
      </c>
      <c r="D228" s="87" t="inlineStr">
        <is>
          <t>Mobile</t>
        </is>
      </c>
      <c r="E228" s="87" t="inlineStr">
        <is>
          <t>Electronics</t>
        </is>
      </c>
      <c r="F228" s="87" t="inlineStr">
        <is>
          <t>North</t>
        </is>
      </c>
      <c r="G228" s="87" t="inlineStr">
        <is>
          <t>Priya Singh</t>
        </is>
      </c>
      <c r="H228" s="86" t="n">
        <v>11</v>
      </c>
      <c r="I228" s="88" t="n">
        <v>18000</v>
      </c>
      <c r="J228" s="88" t="n">
        <v>198000</v>
      </c>
      <c r="K228" s="88" t="n">
        <v>116497</v>
      </c>
      <c r="L228" s="88" t="n">
        <v>81503</v>
      </c>
      <c r="M228" s="89" t="n">
        <v>41.16</v>
      </c>
    </row>
    <row r="229" ht="15" customHeight="1" s="65">
      <c r="A229" s="90" t="n">
        <v>1228</v>
      </c>
      <c r="B229" s="90" t="inlineStr">
        <is>
          <t>Dec</t>
        </is>
      </c>
      <c r="C229" s="90" t="inlineStr">
        <is>
          <t>Q4</t>
        </is>
      </c>
      <c r="D229" s="91" t="inlineStr">
        <is>
          <t>Earphones</t>
        </is>
      </c>
      <c r="E229" s="91" t="inlineStr">
        <is>
          <t>Electronics</t>
        </is>
      </c>
      <c r="F229" s="91" t="inlineStr">
        <is>
          <t>South</t>
        </is>
      </c>
      <c r="G229" s="91" t="inlineStr">
        <is>
          <t>Rohit Verma</t>
        </is>
      </c>
      <c r="H229" s="90" t="n">
        <v>12</v>
      </c>
      <c r="I229" s="92" t="n">
        <v>3500</v>
      </c>
      <c r="J229" s="92" t="n">
        <v>42000</v>
      </c>
      <c r="K229" s="92" t="n">
        <v>24368</v>
      </c>
      <c r="L229" s="92" t="n">
        <v>17632</v>
      </c>
      <c r="M229" s="93" t="n">
        <v>41.98</v>
      </c>
    </row>
    <row r="230" ht="15" customHeight="1" s="65">
      <c r="A230" s="86" t="n">
        <v>1229</v>
      </c>
      <c r="B230" s="86" t="inlineStr">
        <is>
          <t>Dec</t>
        </is>
      </c>
      <c r="C230" s="86" t="inlineStr">
        <is>
          <t>Q4</t>
        </is>
      </c>
      <c r="D230" s="87" t="inlineStr">
        <is>
          <t>Earphones</t>
        </is>
      </c>
      <c r="E230" s="87" t="inlineStr">
        <is>
          <t>Electronics</t>
        </is>
      </c>
      <c r="F230" s="87" t="inlineStr">
        <is>
          <t>West</t>
        </is>
      </c>
      <c r="G230" s="87" t="inlineStr">
        <is>
          <t>Priya Singh</t>
        </is>
      </c>
      <c r="H230" s="86" t="n">
        <v>10</v>
      </c>
      <c r="I230" s="88" t="n">
        <v>3500</v>
      </c>
      <c r="J230" s="88" t="n">
        <v>35000</v>
      </c>
      <c r="K230" s="88" t="n">
        <v>19469</v>
      </c>
      <c r="L230" s="88" t="n">
        <v>15531</v>
      </c>
      <c r="M230" s="89" t="n">
        <v>44.37</v>
      </c>
    </row>
    <row r="231" ht="15" customHeight="1" s="65">
      <c r="A231" s="90" t="n">
        <v>1230</v>
      </c>
      <c r="B231" s="90" t="inlineStr">
        <is>
          <t>Dec</t>
        </is>
      </c>
      <c r="C231" s="90" t="inlineStr">
        <is>
          <t>Q4</t>
        </is>
      </c>
      <c r="D231" s="91" t="inlineStr">
        <is>
          <t>Tablet</t>
        </is>
      </c>
      <c r="E231" s="91" t="inlineStr">
        <is>
          <t>Electronics</t>
        </is>
      </c>
      <c r="F231" s="91" t="inlineStr">
        <is>
          <t>South</t>
        </is>
      </c>
      <c r="G231" s="91" t="inlineStr">
        <is>
          <t>Neha Gupta</t>
        </is>
      </c>
      <c r="H231" s="90" t="n">
        <v>7</v>
      </c>
      <c r="I231" s="92" t="n">
        <v>25000</v>
      </c>
      <c r="J231" s="92" t="n">
        <v>175000</v>
      </c>
      <c r="K231" s="92" t="n">
        <v>108189</v>
      </c>
      <c r="L231" s="92" t="n">
        <v>66811</v>
      </c>
      <c r="M231" s="93" t="n">
        <v>38.18</v>
      </c>
    </row>
    <row r="232" ht="15" customHeight="1" s="65">
      <c r="A232" s="86" t="n">
        <v>1231</v>
      </c>
      <c r="B232" s="86" t="inlineStr">
        <is>
          <t>Dec</t>
        </is>
      </c>
      <c r="C232" s="86" t="inlineStr">
        <is>
          <t>Q4</t>
        </is>
      </c>
      <c r="D232" s="87" t="inlineStr">
        <is>
          <t>Earphones</t>
        </is>
      </c>
      <c r="E232" s="87" t="inlineStr">
        <is>
          <t>Electronics</t>
        </is>
      </c>
      <c r="F232" s="87" t="inlineStr">
        <is>
          <t>East</t>
        </is>
      </c>
      <c r="G232" s="87" t="inlineStr">
        <is>
          <t>Priya Singh</t>
        </is>
      </c>
      <c r="H232" s="86" t="n">
        <v>3</v>
      </c>
      <c r="I232" s="88" t="n">
        <v>3500</v>
      </c>
      <c r="J232" s="88" t="n">
        <v>10500</v>
      </c>
      <c r="K232" s="88" t="n">
        <v>5982</v>
      </c>
      <c r="L232" s="88" t="n">
        <v>4518</v>
      </c>
      <c r="M232" s="89" t="n">
        <v>43.03</v>
      </c>
    </row>
    <row r="233" ht="15" customHeight="1" s="65">
      <c r="A233" s="90" t="n">
        <v>1232</v>
      </c>
      <c r="B233" s="90" t="inlineStr">
        <is>
          <t>Dec</t>
        </is>
      </c>
      <c r="C233" s="90" t="inlineStr">
        <is>
          <t>Q4</t>
        </is>
      </c>
      <c r="D233" s="91" t="inlineStr">
        <is>
          <t>Earphones</t>
        </is>
      </c>
      <c r="E233" s="91" t="inlineStr">
        <is>
          <t>Electronics</t>
        </is>
      </c>
      <c r="F233" s="91" t="inlineStr">
        <is>
          <t>West</t>
        </is>
      </c>
      <c r="G233" s="91" t="inlineStr">
        <is>
          <t>Sneha Patel</t>
        </is>
      </c>
      <c r="H233" s="90" t="n">
        <v>5</v>
      </c>
      <c r="I233" s="92" t="n">
        <v>3500</v>
      </c>
      <c r="J233" s="92" t="n">
        <v>17500</v>
      </c>
      <c r="K233" s="92" t="n">
        <v>9718</v>
      </c>
      <c r="L233" s="92" t="n">
        <v>7782</v>
      </c>
      <c r="M233" s="93" t="n">
        <v>44.47</v>
      </c>
    </row>
    <row r="234" ht="15" customHeight="1" s="65">
      <c r="A234" s="86" t="n">
        <v>1233</v>
      </c>
      <c r="B234" s="86" t="inlineStr">
        <is>
          <t>Dec</t>
        </is>
      </c>
      <c r="C234" s="86" t="inlineStr">
        <is>
          <t>Q4</t>
        </is>
      </c>
      <c r="D234" s="87" t="inlineStr">
        <is>
          <t>Earphones</t>
        </is>
      </c>
      <c r="E234" s="87" t="inlineStr">
        <is>
          <t>Electronics</t>
        </is>
      </c>
      <c r="F234" s="87" t="inlineStr">
        <is>
          <t>South</t>
        </is>
      </c>
      <c r="G234" s="87" t="inlineStr">
        <is>
          <t>Rohit Verma</t>
        </is>
      </c>
      <c r="H234" s="86" t="n">
        <v>13</v>
      </c>
      <c r="I234" s="88" t="n">
        <v>3500</v>
      </c>
      <c r="J234" s="88" t="n">
        <v>45500</v>
      </c>
      <c r="K234" s="88" t="n">
        <v>24888</v>
      </c>
      <c r="L234" s="88" t="n">
        <v>20612</v>
      </c>
      <c r="M234" s="89" t="n">
        <v>45.3</v>
      </c>
    </row>
    <row r="235" ht="15" customHeight="1" s="65">
      <c r="A235" s="90" t="n">
        <v>1234</v>
      </c>
      <c r="B235" s="90" t="inlineStr">
        <is>
          <t>Dec</t>
        </is>
      </c>
      <c r="C235" s="90" t="inlineStr">
        <is>
          <t>Q4</t>
        </is>
      </c>
      <c r="D235" s="91" t="inlineStr">
        <is>
          <t>Mobile</t>
        </is>
      </c>
      <c r="E235" s="91" t="inlineStr">
        <is>
          <t>Electronics</t>
        </is>
      </c>
      <c r="F235" s="91" t="inlineStr">
        <is>
          <t>West</t>
        </is>
      </c>
      <c r="G235" s="91" t="inlineStr">
        <is>
          <t>Rahul Sharma</t>
        </is>
      </c>
      <c r="H235" s="90" t="n">
        <v>3</v>
      </c>
      <c r="I235" s="92" t="n">
        <v>18000</v>
      </c>
      <c r="J235" s="92" t="n">
        <v>54000</v>
      </c>
      <c r="K235" s="92" t="n">
        <v>32212</v>
      </c>
      <c r="L235" s="92" t="n">
        <v>21788</v>
      </c>
      <c r="M235" s="93" t="n">
        <v>40.35</v>
      </c>
    </row>
    <row r="236" ht="15" customHeight="1" s="65">
      <c r="A236" s="86" t="n">
        <v>1235</v>
      </c>
      <c r="B236" s="86" t="inlineStr">
        <is>
          <t>Dec</t>
        </is>
      </c>
      <c r="C236" s="86" t="inlineStr">
        <is>
          <t>Q4</t>
        </is>
      </c>
      <c r="D236" s="87" t="inlineStr">
        <is>
          <t>Laptop</t>
        </is>
      </c>
      <c r="E236" s="87" t="inlineStr">
        <is>
          <t>Electronics</t>
        </is>
      </c>
      <c r="F236" s="87" t="inlineStr">
        <is>
          <t>South</t>
        </is>
      </c>
      <c r="G236" s="87" t="inlineStr">
        <is>
          <t>Rohit Verma</t>
        </is>
      </c>
      <c r="H236" s="86" t="n">
        <v>15</v>
      </c>
      <c r="I236" s="88" t="n">
        <v>55000</v>
      </c>
      <c r="J236" s="88" t="n">
        <v>825000</v>
      </c>
      <c r="K236" s="88" t="n">
        <v>569154</v>
      </c>
      <c r="L236" s="88" t="n">
        <v>255846</v>
      </c>
      <c r="M236" s="89" t="n">
        <v>31.01</v>
      </c>
    </row>
    <row r="237" ht="15" customHeight="1" s="65">
      <c r="A237" s="90" t="n">
        <v>1236</v>
      </c>
      <c r="B237" s="90" t="inlineStr">
        <is>
          <t>Dec</t>
        </is>
      </c>
      <c r="C237" s="90" t="inlineStr">
        <is>
          <t>Q4</t>
        </is>
      </c>
      <c r="D237" s="91" t="inlineStr">
        <is>
          <t>Mobile</t>
        </is>
      </c>
      <c r="E237" s="91" t="inlineStr">
        <is>
          <t>Electronics</t>
        </is>
      </c>
      <c r="F237" s="91" t="inlineStr">
        <is>
          <t>South</t>
        </is>
      </c>
      <c r="G237" s="91" t="inlineStr">
        <is>
          <t>Vikas Rao</t>
        </is>
      </c>
      <c r="H237" s="90" t="n">
        <v>2</v>
      </c>
      <c r="I237" s="92" t="n">
        <v>18000</v>
      </c>
      <c r="J237" s="92" t="n">
        <v>36000</v>
      </c>
      <c r="K237" s="92" t="n">
        <v>21120</v>
      </c>
      <c r="L237" s="92" t="n">
        <v>14880</v>
      </c>
      <c r="M237" s="93" t="n">
        <v>41.33</v>
      </c>
    </row>
    <row r="238" ht="15" customHeight="1" s="65">
      <c r="A238" s="86" t="n">
        <v>1237</v>
      </c>
      <c r="B238" s="86" t="inlineStr">
        <is>
          <t>Dec</t>
        </is>
      </c>
      <c r="C238" s="86" t="inlineStr">
        <is>
          <t>Q4</t>
        </is>
      </c>
      <c r="D238" s="87" t="inlineStr">
        <is>
          <t>Laptop</t>
        </is>
      </c>
      <c r="E238" s="87" t="inlineStr">
        <is>
          <t>Electronics</t>
        </is>
      </c>
      <c r="F238" s="87" t="inlineStr">
        <is>
          <t>South</t>
        </is>
      </c>
      <c r="G238" s="87" t="inlineStr">
        <is>
          <t>Kavita Joshi</t>
        </is>
      </c>
      <c r="H238" s="86" t="n">
        <v>3</v>
      </c>
      <c r="I238" s="88" t="n">
        <v>55000</v>
      </c>
      <c r="J238" s="88" t="n">
        <v>165000</v>
      </c>
      <c r="K238" s="88" t="n">
        <v>108663</v>
      </c>
      <c r="L238" s="88" t="n">
        <v>56337</v>
      </c>
      <c r="M238" s="89" t="n">
        <v>34.14</v>
      </c>
    </row>
    <row r="239" ht="15" customHeight="1" s="65">
      <c r="A239" s="90" t="n">
        <v>1238</v>
      </c>
      <c r="B239" s="90" t="inlineStr">
        <is>
          <t>Dec</t>
        </is>
      </c>
      <c r="C239" s="90" t="inlineStr">
        <is>
          <t>Q4</t>
        </is>
      </c>
      <c r="D239" s="91" t="inlineStr">
        <is>
          <t>Tablet</t>
        </is>
      </c>
      <c r="E239" s="91" t="inlineStr">
        <is>
          <t>Electronics</t>
        </is>
      </c>
      <c r="F239" s="91" t="inlineStr">
        <is>
          <t>North</t>
        </is>
      </c>
      <c r="G239" s="91" t="inlineStr">
        <is>
          <t>Rohit Verma</t>
        </is>
      </c>
      <c r="H239" s="90" t="n">
        <v>5</v>
      </c>
      <c r="I239" s="92" t="n">
        <v>25000</v>
      </c>
      <c r="J239" s="92" t="n">
        <v>125000</v>
      </c>
      <c r="K239" s="92" t="n">
        <v>81376</v>
      </c>
      <c r="L239" s="92" t="n">
        <v>43624</v>
      </c>
      <c r="M239" s="93" t="n">
        <v>34.9</v>
      </c>
    </row>
    <row r="240" ht="15" customHeight="1" s="65">
      <c r="A240" s="86" t="n">
        <v>1239</v>
      </c>
      <c r="B240" s="86" t="inlineStr">
        <is>
          <t>Dec</t>
        </is>
      </c>
      <c r="C240" s="86" t="inlineStr">
        <is>
          <t>Q4</t>
        </is>
      </c>
      <c r="D240" s="87" t="inlineStr">
        <is>
          <t>Tablet</t>
        </is>
      </c>
      <c r="E240" s="87" t="inlineStr">
        <is>
          <t>Electronics</t>
        </is>
      </c>
      <c r="F240" s="87" t="inlineStr">
        <is>
          <t>West</t>
        </is>
      </c>
      <c r="G240" s="87" t="inlineStr">
        <is>
          <t>Neha Gupta</t>
        </is>
      </c>
      <c r="H240" s="86" t="n">
        <v>13</v>
      </c>
      <c r="I240" s="88" t="n">
        <v>25000</v>
      </c>
      <c r="J240" s="88" t="n">
        <v>325000</v>
      </c>
      <c r="K240" s="88" t="n">
        <v>209475</v>
      </c>
      <c r="L240" s="88" t="n">
        <v>115525</v>
      </c>
      <c r="M240" s="89" t="n">
        <v>35.55</v>
      </c>
    </row>
    <row r="241" ht="15" customHeight="1" s="65">
      <c r="A241" s="90" t="n">
        <v>1240</v>
      </c>
      <c r="B241" s="90" t="inlineStr">
        <is>
          <t>Dec</t>
        </is>
      </c>
      <c r="C241" s="90" t="inlineStr">
        <is>
          <t>Q4</t>
        </is>
      </c>
      <c r="D241" s="91" t="inlineStr">
        <is>
          <t>Tablet</t>
        </is>
      </c>
      <c r="E241" s="91" t="inlineStr">
        <is>
          <t>Electronics</t>
        </is>
      </c>
      <c r="F241" s="91" t="inlineStr">
        <is>
          <t>South</t>
        </is>
      </c>
      <c r="G241" s="91" t="inlineStr">
        <is>
          <t>Amit Kumar</t>
        </is>
      </c>
      <c r="H241" s="90" t="n">
        <v>10</v>
      </c>
      <c r="I241" s="92" t="n">
        <v>25000</v>
      </c>
      <c r="J241" s="92" t="n">
        <v>250000</v>
      </c>
      <c r="K241" s="92" t="n">
        <v>155217</v>
      </c>
      <c r="L241" s="92" t="n">
        <v>94783</v>
      </c>
      <c r="M241" s="93" t="n">
        <v>37.91</v>
      </c>
    </row>
    <row r="242" ht="15" customHeight="1" s="65">
      <c r="A242" s="86" t="n">
        <v>1241</v>
      </c>
      <c r="B242" s="86" t="inlineStr">
        <is>
          <t>Dec</t>
        </is>
      </c>
      <c r="C242" s="86" t="inlineStr">
        <is>
          <t>Q4</t>
        </is>
      </c>
      <c r="D242" s="87" t="inlineStr">
        <is>
          <t>Mobile</t>
        </is>
      </c>
      <c r="E242" s="87" t="inlineStr">
        <is>
          <t>Electronics</t>
        </is>
      </c>
      <c r="F242" s="87" t="inlineStr">
        <is>
          <t>South</t>
        </is>
      </c>
      <c r="G242" s="87" t="inlineStr">
        <is>
          <t>Kavita Joshi</t>
        </is>
      </c>
      <c r="H242" s="86" t="n">
        <v>6</v>
      </c>
      <c r="I242" s="88" t="n">
        <v>18000</v>
      </c>
      <c r="J242" s="88" t="n">
        <v>108000</v>
      </c>
      <c r="K242" s="88" t="n">
        <v>70262</v>
      </c>
      <c r="L242" s="88" t="n">
        <v>37738</v>
      </c>
      <c r="M242" s="89" t="n">
        <v>34.94</v>
      </c>
    </row>
    <row r="243" ht="15" customHeight="1" s="65">
      <c r="A243" s="90" t="n">
        <v>1242</v>
      </c>
      <c r="B243" s="90" t="inlineStr">
        <is>
          <t>Dec</t>
        </is>
      </c>
      <c r="C243" s="90" t="inlineStr">
        <is>
          <t>Q4</t>
        </is>
      </c>
      <c r="D243" s="91" t="inlineStr">
        <is>
          <t>Earphones</t>
        </is>
      </c>
      <c r="E243" s="91" t="inlineStr">
        <is>
          <t>Electronics</t>
        </is>
      </c>
      <c r="F243" s="91" t="inlineStr">
        <is>
          <t>South</t>
        </is>
      </c>
      <c r="G243" s="91" t="inlineStr">
        <is>
          <t>Rahul Sharma</t>
        </is>
      </c>
      <c r="H243" s="90" t="n">
        <v>5</v>
      </c>
      <c r="I243" s="92" t="n">
        <v>3500</v>
      </c>
      <c r="J243" s="92" t="n">
        <v>17500</v>
      </c>
      <c r="K243" s="92" t="n">
        <v>9612</v>
      </c>
      <c r="L243" s="92" t="n">
        <v>7888</v>
      </c>
      <c r="M243" s="93" t="n">
        <v>45.07</v>
      </c>
    </row>
    <row r="244" ht="15" customHeight="1" s="65">
      <c r="A244" s="86" t="n">
        <v>1243</v>
      </c>
      <c r="B244" s="86" t="inlineStr">
        <is>
          <t>Dec</t>
        </is>
      </c>
      <c r="C244" s="86" t="inlineStr">
        <is>
          <t>Q4</t>
        </is>
      </c>
      <c r="D244" s="87" t="inlineStr">
        <is>
          <t>Earphones</t>
        </is>
      </c>
      <c r="E244" s="87" t="inlineStr">
        <is>
          <t>Electronics</t>
        </is>
      </c>
      <c r="F244" s="87" t="inlineStr">
        <is>
          <t>North</t>
        </is>
      </c>
      <c r="G244" s="87" t="inlineStr">
        <is>
          <t>Rohit Verma</t>
        </is>
      </c>
      <c r="H244" s="86" t="n">
        <v>12</v>
      </c>
      <c r="I244" s="88" t="n">
        <v>3500</v>
      </c>
      <c r="J244" s="88" t="n">
        <v>42000</v>
      </c>
      <c r="K244" s="88" t="n">
        <v>21612</v>
      </c>
      <c r="L244" s="88" t="n">
        <v>20388</v>
      </c>
      <c r="M244" s="89" t="n">
        <v>48.54</v>
      </c>
    </row>
    <row r="245" ht="15" customHeight="1" s="65">
      <c r="A245" s="90" t="n">
        <v>1244</v>
      </c>
      <c r="B245" s="90" t="inlineStr">
        <is>
          <t>Dec</t>
        </is>
      </c>
      <c r="C245" s="90" t="inlineStr">
        <is>
          <t>Q4</t>
        </is>
      </c>
      <c r="D245" s="91" t="inlineStr">
        <is>
          <t>Mobile</t>
        </is>
      </c>
      <c r="E245" s="91" t="inlineStr">
        <is>
          <t>Electronics</t>
        </is>
      </c>
      <c r="F245" s="91" t="inlineStr">
        <is>
          <t>North</t>
        </is>
      </c>
      <c r="G245" s="91" t="inlineStr">
        <is>
          <t>Rohit Verma</t>
        </is>
      </c>
      <c r="H245" s="90" t="n">
        <v>11</v>
      </c>
      <c r="I245" s="92" t="n">
        <v>18000</v>
      </c>
      <c r="J245" s="92" t="n">
        <v>198000</v>
      </c>
      <c r="K245" s="92" t="n">
        <v>115133</v>
      </c>
      <c r="L245" s="92" t="n">
        <v>82867</v>
      </c>
      <c r="M245" s="93" t="n">
        <v>41.85</v>
      </c>
    </row>
    <row r="246" ht="15" customHeight="1" s="65">
      <c r="A246" s="86" t="n">
        <v>1245</v>
      </c>
      <c r="B246" s="86" t="inlineStr">
        <is>
          <t>Dec</t>
        </is>
      </c>
      <c r="C246" s="86" t="inlineStr">
        <is>
          <t>Q4</t>
        </is>
      </c>
      <c r="D246" s="87" t="inlineStr">
        <is>
          <t>Mobile</t>
        </is>
      </c>
      <c r="E246" s="87" t="inlineStr">
        <is>
          <t>Electronics</t>
        </is>
      </c>
      <c r="F246" s="87" t="inlineStr">
        <is>
          <t>North</t>
        </is>
      </c>
      <c r="G246" s="87" t="inlineStr">
        <is>
          <t>Rohit Verma</t>
        </is>
      </c>
      <c r="H246" s="86" t="n">
        <v>4</v>
      </c>
      <c r="I246" s="88" t="n">
        <v>18000</v>
      </c>
      <c r="J246" s="88" t="n">
        <v>72000</v>
      </c>
      <c r="K246" s="88" t="n">
        <v>42569</v>
      </c>
      <c r="L246" s="88" t="n">
        <v>29431</v>
      </c>
      <c r="M246" s="89" t="n">
        <v>40.88</v>
      </c>
    </row>
    <row r="247" ht="15" customHeight="1" s="65">
      <c r="A247" s="90" t="n">
        <v>1246</v>
      </c>
      <c r="B247" s="90" t="inlineStr">
        <is>
          <t>Dec</t>
        </is>
      </c>
      <c r="C247" s="90" t="inlineStr">
        <is>
          <t>Q4</t>
        </is>
      </c>
      <c r="D247" s="91" t="inlineStr">
        <is>
          <t>Mobile</t>
        </is>
      </c>
      <c r="E247" s="91" t="inlineStr">
        <is>
          <t>Electronics</t>
        </is>
      </c>
      <c r="F247" s="91" t="inlineStr">
        <is>
          <t>South</t>
        </is>
      </c>
      <c r="G247" s="91" t="inlineStr">
        <is>
          <t>Neha Gupta</t>
        </is>
      </c>
      <c r="H247" s="90" t="n">
        <v>15</v>
      </c>
      <c r="I247" s="92" t="n">
        <v>18000</v>
      </c>
      <c r="J247" s="92" t="n">
        <v>270000</v>
      </c>
      <c r="K247" s="92" t="n">
        <v>157973</v>
      </c>
      <c r="L247" s="92" t="n">
        <v>112027</v>
      </c>
      <c r="M247" s="93" t="n">
        <v>41.49</v>
      </c>
    </row>
    <row r="248" ht="15" customHeight="1" s="65">
      <c r="A248" s="86" t="n">
        <v>1247</v>
      </c>
      <c r="B248" s="86" t="inlineStr">
        <is>
          <t>Dec</t>
        </is>
      </c>
      <c r="C248" s="86" t="inlineStr">
        <is>
          <t>Q4</t>
        </is>
      </c>
      <c r="D248" s="87" t="inlineStr">
        <is>
          <t>Earphones</t>
        </is>
      </c>
      <c r="E248" s="87" t="inlineStr">
        <is>
          <t>Electronics</t>
        </is>
      </c>
      <c r="F248" s="87" t="inlineStr">
        <is>
          <t>East</t>
        </is>
      </c>
      <c r="G248" s="87" t="inlineStr">
        <is>
          <t>Rahul Sharma</t>
        </is>
      </c>
      <c r="H248" s="86" t="n">
        <v>4</v>
      </c>
      <c r="I248" s="88" t="n">
        <v>3500</v>
      </c>
      <c r="J248" s="88" t="n">
        <v>14000</v>
      </c>
      <c r="K248" s="88" t="n">
        <v>7602</v>
      </c>
      <c r="L248" s="88" t="n">
        <v>6398</v>
      </c>
      <c r="M248" s="89" t="n">
        <v>45.7</v>
      </c>
    </row>
    <row r="249" ht="15" customHeight="1" s="65">
      <c r="A249" s="90" t="n">
        <v>1248</v>
      </c>
      <c r="B249" s="90" t="inlineStr">
        <is>
          <t>Dec</t>
        </is>
      </c>
      <c r="C249" s="90" t="inlineStr">
        <is>
          <t>Q4</t>
        </is>
      </c>
      <c r="D249" s="91" t="inlineStr">
        <is>
          <t>Mobile</t>
        </is>
      </c>
      <c r="E249" s="91" t="inlineStr">
        <is>
          <t>Electronics</t>
        </is>
      </c>
      <c r="F249" s="91" t="inlineStr">
        <is>
          <t>West</t>
        </is>
      </c>
      <c r="G249" s="91" t="inlineStr">
        <is>
          <t>Amit Kumar</t>
        </is>
      </c>
      <c r="H249" s="90" t="n">
        <v>1</v>
      </c>
      <c r="I249" s="92" t="n">
        <v>18000</v>
      </c>
      <c r="J249" s="92" t="n">
        <v>18000</v>
      </c>
      <c r="K249" s="92" t="n">
        <v>11730</v>
      </c>
      <c r="L249" s="92" t="n">
        <v>6270</v>
      </c>
      <c r="M249" s="93" t="n">
        <v>34.83</v>
      </c>
    </row>
    <row r="250" ht="15" customHeight="1" s="65">
      <c r="A250" s="86" t="n">
        <v>1249</v>
      </c>
      <c r="B250" s="86" t="inlineStr">
        <is>
          <t>Dec</t>
        </is>
      </c>
      <c r="C250" s="86" t="inlineStr">
        <is>
          <t>Q4</t>
        </is>
      </c>
      <c r="D250" s="87" t="inlineStr">
        <is>
          <t>Tablet</t>
        </is>
      </c>
      <c r="E250" s="87" t="inlineStr">
        <is>
          <t>Electronics</t>
        </is>
      </c>
      <c r="F250" s="87" t="inlineStr">
        <is>
          <t>North</t>
        </is>
      </c>
      <c r="G250" s="87" t="inlineStr">
        <is>
          <t>Neha Gupta</t>
        </is>
      </c>
      <c r="H250" s="86" t="n">
        <v>2</v>
      </c>
      <c r="I250" s="88" t="n">
        <v>25000</v>
      </c>
      <c r="J250" s="88" t="n">
        <v>50000</v>
      </c>
      <c r="K250" s="88" t="n">
        <v>31486</v>
      </c>
      <c r="L250" s="88" t="n">
        <v>18514</v>
      </c>
      <c r="M250" s="89" t="n">
        <v>37.03</v>
      </c>
    </row>
    <row r="251" ht="15" customHeight="1" s="65">
      <c r="A251" s="90" t="n">
        <v>1250</v>
      </c>
      <c r="B251" s="90" t="inlineStr">
        <is>
          <t>Dec</t>
        </is>
      </c>
      <c r="C251" s="90" t="inlineStr">
        <is>
          <t>Q4</t>
        </is>
      </c>
      <c r="D251" s="91" t="inlineStr">
        <is>
          <t>Mobile</t>
        </is>
      </c>
      <c r="E251" s="91" t="inlineStr">
        <is>
          <t>Electronics</t>
        </is>
      </c>
      <c r="F251" s="91" t="inlineStr">
        <is>
          <t>South</t>
        </is>
      </c>
      <c r="G251" s="91" t="inlineStr">
        <is>
          <t>Rohit Verma</t>
        </is>
      </c>
      <c r="H251" s="90" t="n">
        <v>13</v>
      </c>
      <c r="I251" s="92" t="n">
        <v>18000</v>
      </c>
      <c r="J251" s="92" t="n">
        <v>234000</v>
      </c>
      <c r="K251" s="92" t="n">
        <v>149587</v>
      </c>
      <c r="L251" s="92" t="n">
        <v>84413</v>
      </c>
      <c r="M251" s="93" t="n">
        <v>36.07</v>
      </c>
    </row>
    <row r="252" ht="15" customHeight="1" s="65">
      <c r="A252" s="86" t="n">
        <v>1251</v>
      </c>
      <c r="B252" s="86" t="inlineStr">
        <is>
          <t>Dec</t>
        </is>
      </c>
      <c r="C252" s="86" t="inlineStr">
        <is>
          <t>Q4</t>
        </is>
      </c>
      <c r="D252" s="87" t="inlineStr">
        <is>
          <t>Smart Watch</t>
        </is>
      </c>
      <c r="E252" s="87" t="inlineStr">
        <is>
          <t>Electronics</t>
        </is>
      </c>
      <c r="F252" s="87" t="inlineStr">
        <is>
          <t>North</t>
        </is>
      </c>
      <c r="G252" s="87" t="inlineStr">
        <is>
          <t>Rahul Sharma</t>
        </is>
      </c>
      <c r="H252" s="86" t="n">
        <v>12</v>
      </c>
      <c r="I252" s="88" t="n">
        <v>12000</v>
      </c>
      <c r="J252" s="88" t="n">
        <v>144000</v>
      </c>
      <c r="K252" s="88" t="n">
        <v>91092</v>
      </c>
      <c r="L252" s="88" t="n">
        <v>52908</v>
      </c>
      <c r="M252" s="89" t="n">
        <v>36.74</v>
      </c>
    </row>
    <row r="253" ht="15" customHeight="1" s="65">
      <c r="A253" s="90" t="n">
        <v>1252</v>
      </c>
      <c r="B253" s="90" t="inlineStr">
        <is>
          <t>Dec</t>
        </is>
      </c>
      <c r="C253" s="90" t="inlineStr">
        <is>
          <t>Q4</t>
        </is>
      </c>
      <c r="D253" s="91" t="inlineStr">
        <is>
          <t>Earphones</t>
        </is>
      </c>
      <c r="E253" s="91" t="inlineStr">
        <is>
          <t>Electronics</t>
        </is>
      </c>
      <c r="F253" s="91" t="inlineStr">
        <is>
          <t>South</t>
        </is>
      </c>
      <c r="G253" s="91" t="inlineStr">
        <is>
          <t>Vikas Rao</t>
        </is>
      </c>
      <c r="H253" s="90" t="n">
        <v>10</v>
      </c>
      <c r="I253" s="92" t="n">
        <v>3500</v>
      </c>
      <c r="J253" s="92" t="n">
        <v>35000</v>
      </c>
      <c r="K253" s="92" t="n">
        <v>17951</v>
      </c>
      <c r="L253" s="92" t="n">
        <v>17049</v>
      </c>
      <c r="M253" s="93" t="n">
        <v>48.71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4" min="1" max="2"/>
    <col width="12" customWidth="1" style="64" min="3" max="3"/>
    <col width="18" customWidth="1" style="64" min="4" max="4"/>
    <col width="16" customWidth="1" style="64" min="5" max="5"/>
    <col width="18" customWidth="1" style="64" min="6" max="7"/>
  </cols>
  <sheetData>
    <row r="1" ht="33.75" customHeight="1" s="65">
      <c r="A1" s="94" t="inlineStr">
        <is>
          <t>Monthly Sales Analysis — Jan to Dec 2024</t>
        </is>
      </c>
    </row>
    <row r="2" ht="27.75" customHeight="1" s="65">
      <c r="A2" s="95" t="inlineStr">
        <is>
          <t>INSIGHT: Nov–Dec account for ~24% of annual revenue. Q4 is the peak season — plan inventory &amp; staffing accordingly.</t>
        </is>
      </c>
      <c r="B2" s="74" t="n"/>
      <c r="C2" s="74" t="n"/>
      <c r="D2" s="74" t="n"/>
      <c r="E2" s="74" t="n"/>
      <c r="F2" s="74" t="n"/>
      <c r="G2" s="74" t="n"/>
    </row>
    <row r="3" ht="25.5" customHeight="1" s="65">
      <c r="A3" s="85" t="inlineStr">
        <is>
          <t>Month</t>
        </is>
      </c>
      <c r="B3" s="85" t="inlineStr">
        <is>
          <t>Quarter</t>
        </is>
      </c>
      <c r="C3" s="85" t="inlineStr">
        <is>
          <t>Orders</t>
        </is>
      </c>
      <c r="D3" s="85" t="inlineStr">
        <is>
          <t>Revenue (Rs)</t>
        </is>
      </c>
      <c r="E3" s="85" t="inlineStr">
        <is>
          <t>Profit (Rs)</t>
        </is>
      </c>
      <c r="F3" s="85" t="inlineStr">
        <is>
          <t>Profit Margin %</t>
        </is>
      </c>
      <c r="G3" s="85" t="inlineStr">
        <is>
          <t>vs Prev Month</t>
        </is>
      </c>
    </row>
    <row r="4" ht="15" customHeight="1" s="65">
      <c r="A4" s="86" t="inlineStr">
        <is>
          <t>Jan</t>
        </is>
      </c>
      <c r="B4" s="86" t="inlineStr">
        <is>
          <t>Q1</t>
        </is>
      </c>
      <c r="C4" s="96">
        <f>COUNTIF(01_Raw_Data!B:B,A4)</f>
        <v/>
      </c>
      <c r="D4" s="96">
        <f>SUMIF(01_Raw_Data!B:B,A4,01_Raw_Data!J:J)</f>
        <v/>
      </c>
      <c r="E4" s="96">
        <f>SUMIF(01_Raw_Data!B:B,A4,01_Raw_Data!L:L)</f>
        <v/>
      </c>
      <c r="F4" s="89">
        <f>AVERAGEIF(01_Raw_Data!B:B,A4,01_Raw_Data!M:M)</f>
        <v/>
      </c>
      <c r="G4" s="86" t="inlineStr">
        <is>
          <t>—</t>
        </is>
      </c>
    </row>
    <row r="5" ht="15" customHeight="1" s="65">
      <c r="A5" s="90" t="inlineStr">
        <is>
          <t>Feb</t>
        </is>
      </c>
      <c r="B5" s="90" t="inlineStr">
        <is>
          <t>Q1</t>
        </is>
      </c>
      <c r="C5" s="97">
        <f>COUNTIF(01_Raw_Data!B:B,A5)</f>
        <v/>
      </c>
      <c r="D5" s="97">
        <f>SUMIF(01_Raw_Data!B:B,A5,01_Raw_Data!J:J)</f>
        <v/>
      </c>
      <c r="E5" s="97">
        <f>SUMIF(01_Raw_Data!B:B,A5,01_Raw_Data!L:L)</f>
        <v/>
      </c>
      <c r="F5" s="93">
        <f>AVERAGEIF(01_Raw_Data!B:B,A5,01_Raw_Data!M:M)</f>
        <v/>
      </c>
      <c r="G5" s="93">
        <f>(D5-D4)/D4*100</f>
        <v/>
      </c>
    </row>
    <row r="6" ht="15" customHeight="1" s="65">
      <c r="A6" s="86" t="inlineStr">
        <is>
          <t>Mar</t>
        </is>
      </c>
      <c r="B6" s="86" t="inlineStr">
        <is>
          <t>Q1</t>
        </is>
      </c>
      <c r="C6" s="96">
        <f>COUNTIF(01_Raw_Data!B:B,A6)</f>
        <v/>
      </c>
      <c r="D6" s="96">
        <f>SUMIF(01_Raw_Data!B:B,A6,01_Raw_Data!J:J)</f>
        <v/>
      </c>
      <c r="E6" s="96">
        <f>SUMIF(01_Raw_Data!B:B,A6,01_Raw_Data!L:L)</f>
        <v/>
      </c>
      <c r="F6" s="89">
        <f>AVERAGEIF(01_Raw_Data!B:B,A6,01_Raw_Data!M:M)</f>
        <v/>
      </c>
      <c r="G6" s="89">
        <f>(D6-D5)/D5*100</f>
        <v/>
      </c>
    </row>
    <row r="7" ht="15" customHeight="1" s="65">
      <c r="A7" s="90" t="inlineStr">
        <is>
          <t>Apr</t>
        </is>
      </c>
      <c r="B7" s="90" t="inlineStr">
        <is>
          <t>Q2</t>
        </is>
      </c>
      <c r="C7" s="97">
        <f>COUNTIF(01_Raw_Data!B:B,A7)</f>
        <v/>
      </c>
      <c r="D7" s="97">
        <f>SUMIF(01_Raw_Data!B:B,A7,01_Raw_Data!J:J)</f>
        <v/>
      </c>
      <c r="E7" s="97">
        <f>SUMIF(01_Raw_Data!B:B,A7,01_Raw_Data!L:L)</f>
        <v/>
      </c>
      <c r="F7" s="93">
        <f>AVERAGEIF(01_Raw_Data!B:B,A7,01_Raw_Data!M:M)</f>
        <v/>
      </c>
      <c r="G7" s="93">
        <f>(D7-D6)/D6*100</f>
        <v/>
      </c>
    </row>
    <row r="8" ht="15" customHeight="1" s="65">
      <c r="A8" s="86" t="inlineStr">
        <is>
          <t>May</t>
        </is>
      </c>
      <c r="B8" s="86" t="inlineStr">
        <is>
          <t>Q2</t>
        </is>
      </c>
      <c r="C8" s="96">
        <f>COUNTIF(01_Raw_Data!B:B,A8)</f>
        <v/>
      </c>
      <c r="D8" s="96">
        <f>SUMIF(01_Raw_Data!B:B,A8,01_Raw_Data!J:J)</f>
        <v/>
      </c>
      <c r="E8" s="96">
        <f>SUMIF(01_Raw_Data!B:B,A8,01_Raw_Data!L:L)</f>
        <v/>
      </c>
      <c r="F8" s="89">
        <f>AVERAGEIF(01_Raw_Data!B:B,A8,01_Raw_Data!M:M)</f>
        <v/>
      </c>
      <c r="G8" s="89">
        <f>(D8-D7)/D7*100</f>
        <v/>
      </c>
    </row>
    <row r="9" ht="15" customHeight="1" s="65">
      <c r="A9" s="90" t="inlineStr">
        <is>
          <t>Jun</t>
        </is>
      </c>
      <c r="B9" s="90" t="inlineStr">
        <is>
          <t>Q2</t>
        </is>
      </c>
      <c r="C9" s="97">
        <f>COUNTIF(01_Raw_Data!B:B,A9)</f>
        <v/>
      </c>
      <c r="D9" s="97">
        <f>SUMIF(01_Raw_Data!B:B,A9,01_Raw_Data!J:J)</f>
        <v/>
      </c>
      <c r="E9" s="97">
        <f>SUMIF(01_Raw_Data!B:B,A9,01_Raw_Data!L:L)</f>
        <v/>
      </c>
      <c r="F9" s="93">
        <f>AVERAGEIF(01_Raw_Data!B:B,A9,01_Raw_Data!M:M)</f>
        <v/>
      </c>
      <c r="G9" s="93">
        <f>(D9-D8)/D8*100</f>
        <v/>
      </c>
    </row>
    <row r="10" ht="15" customHeight="1" s="65">
      <c r="A10" s="86" t="inlineStr">
        <is>
          <t>Jul</t>
        </is>
      </c>
      <c r="B10" s="86" t="inlineStr">
        <is>
          <t>Q3</t>
        </is>
      </c>
      <c r="C10" s="96">
        <f>COUNTIF(01_Raw_Data!B:B,A10)</f>
        <v/>
      </c>
      <c r="D10" s="96">
        <f>SUMIF(01_Raw_Data!B:B,A10,01_Raw_Data!J:J)</f>
        <v/>
      </c>
      <c r="E10" s="96">
        <f>SUMIF(01_Raw_Data!B:B,A10,01_Raw_Data!L:L)</f>
        <v/>
      </c>
      <c r="F10" s="89">
        <f>AVERAGEIF(01_Raw_Data!B:B,A10,01_Raw_Data!M:M)</f>
        <v/>
      </c>
      <c r="G10" s="89">
        <f>(D10-D9)/D9*100</f>
        <v/>
      </c>
    </row>
    <row r="11" ht="15" customHeight="1" s="65">
      <c r="A11" s="90" t="inlineStr">
        <is>
          <t>Aug</t>
        </is>
      </c>
      <c r="B11" s="90" t="inlineStr">
        <is>
          <t>Q3</t>
        </is>
      </c>
      <c r="C11" s="97">
        <f>COUNTIF(01_Raw_Data!B:B,A11)</f>
        <v/>
      </c>
      <c r="D11" s="97">
        <f>SUMIF(01_Raw_Data!B:B,A11,01_Raw_Data!J:J)</f>
        <v/>
      </c>
      <c r="E11" s="97">
        <f>SUMIF(01_Raw_Data!B:B,A11,01_Raw_Data!L:L)</f>
        <v/>
      </c>
      <c r="F11" s="93">
        <f>AVERAGEIF(01_Raw_Data!B:B,A11,01_Raw_Data!M:M)</f>
        <v/>
      </c>
      <c r="G11" s="93">
        <f>(D11-D10)/D10*100</f>
        <v/>
      </c>
    </row>
    <row r="12" ht="15" customHeight="1" s="65">
      <c r="A12" s="86" t="inlineStr">
        <is>
          <t>Sep</t>
        </is>
      </c>
      <c r="B12" s="86" t="inlineStr">
        <is>
          <t>Q3</t>
        </is>
      </c>
      <c r="C12" s="96">
        <f>COUNTIF(01_Raw_Data!B:B,A12)</f>
        <v/>
      </c>
      <c r="D12" s="96">
        <f>SUMIF(01_Raw_Data!B:B,A12,01_Raw_Data!J:J)</f>
        <v/>
      </c>
      <c r="E12" s="96">
        <f>SUMIF(01_Raw_Data!B:B,A12,01_Raw_Data!L:L)</f>
        <v/>
      </c>
      <c r="F12" s="89">
        <f>AVERAGEIF(01_Raw_Data!B:B,A12,01_Raw_Data!M:M)</f>
        <v/>
      </c>
      <c r="G12" s="89">
        <f>(D12-D11)/D11*100</f>
        <v/>
      </c>
    </row>
    <row r="13" ht="15" customHeight="1" s="65">
      <c r="A13" s="90" t="inlineStr">
        <is>
          <t>Oct</t>
        </is>
      </c>
      <c r="B13" s="90" t="inlineStr">
        <is>
          <t>Q4</t>
        </is>
      </c>
      <c r="C13" s="97">
        <f>COUNTIF(01_Raw_Data!B:B,A13)</f>
        <v/>
      </c>
      <c r="D13" s="97">
        <f>SUMIF(01_Raw_Data!B:B,A13,01_Raw_Data!J:J)</f>
        <v/>
      </c>
      <c r="E13" s="97">
        <f>SUMIF(01_Raw_Data!B:B,A13,01_Raw_Data!L:L)</f>
        <v/>
      </c>
      <c r="F13" s="93">
        <f>AVERAGEIF(01_Raw_Data!B:B,A13,01_Raw_Data!M:M)</f>
        <v/>
      </c>
      <c r="G13" s="93">
        <f>(D13-D12)/D12*100</f>
        <v/>
      </c>
    </row>
    <row r="14" ht="15" customHeight="1" s="65">
      <c r="A14" s="98" t="inlineStr">
        <is>
          <t>Nov</t>
        </is>
      </c>
      <c r="B14" s="99" t="inlineStr">
        <is>
          <t>Q4</t>
        </is>
      </c>
      <c r="C14" s="100">
        <f>COUNTIF(01_Raw_Data!B:B,A14)</f>
        <v/>
      </c>
      <c r="D14" s="100">
        <f>SUMIF(01_Raw_Data!B:B,A14,01_Raw_Data!J:J)</f>
        <v/>
      </c>
      <c r="E14" s="100">
        <f>SUMIF(01_Raw_Data!B:B,A14,01_Raw_Data!L:L)</f>
        <v/>
      </c>
      <c r="F14" s="101">
        <f>AVERAGEIF(01_Raw_Data!B:B,A14,01_Raw_Data!M:M)</f>
        <v/>
      </c>
      <c r="G14" s="101">
        <f>(D14-D13)/D13*100</f>
        <v/>
      </c>
    </row>
    <row r="15" ht="15" customHeight="1" s="65">
      <c r="A15" s="98" t="inlineStr">
        <is>
          <t>Dec</t>
        </is>
      </c>
      <c r="B15" s="99" t="inlineStr">
        <is>
          <t>Q4</t>
        </is>
      </c>
      <c r="C15" s="100">
        <f>COUNTIF(01_Raw_Data!B:B,A15)</f>
        <v/>
      </c>
      <c r="D15" s="100">
        <f>SUMIF(01_Raw_Data!B:B,A15,01_Raw_Data!J:J)</f>
        <v/>
      </c>
      <c r="E15" s="100">
        <f>SUMIF(01_Raw_Data!B:B,A15,01_Raw_Data!L:L)</f>
        <v/>
      </c>
      <c r="F15" s="101">
        <f>AVERAGEIF(01_Raw_Data!B:B,A15,01_Raw_Data!M:M)</f>
        <v/>
      </c>
      <c r="G15" s="101">
        <f>(D15-D14)/D14*100</f>
        <v/>
      </c>
    </row>
    <row r="16" ht="15" customHeight="1" s="65">
      <c r="A16" s="102" t="inlineStr">
        <is>
          <t>ANNUAL TOTAL</t>
        </is>
      </c>
      <c r="B16" s="102" t="inlineStr">
        <is>
          <t>FY 2024</t>
        </is>
      </c>
      <c r="C16" s="103">
        <f>SUM(C4:C15)</f>
        <v/>
      </c>
      <c r="D16" s="103">
        <f>SUM(D4:D15)</f>
        <v/>
      </c>
      <c r="E16" s="103">
        <f>SUM(E4:E15)</f>
        <v/>
      </c>
      <c r="F16" s="104">
        <f>AVERAGE(F4:F15)</f>
        <v/>
      </c>
      <c r="G16" s="102" t="inlineStr">
        <is>
          <t>—</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64" min="1" max="1"/>
    <col width="14" customWidth="1" style="64" min="2" max="2"/>
    <col width="18" customWidth="1" style="64" min="3" max="3"/>
    <col width="16" customWidth="1" style="64" min="4" max="5"/>
    <col width="14" customWidth="1" style="64" min="6" max="7"/>
  </cols>
  <sheetData>
    <row r="1" ht="33.75" customHeight="1" s="65">
      <c r="A1" s="94" t="inlineStr">
        <is>
          <t>Product Performance Analysis — FY 2024</t>
        </is>
      </c>
    </row>
    <row r="2" ht="27.75" customHeight="1" s="65">
      <c r="A2" s="95" t="inlineStr">
        <is>
          <t>INSIGHT: Earphones have the HIGHEST margin (45%+) but lowest revenue. Laptops drive revenue but margin is thinner. Strategy: push Earphones volume.</t>
        </is>
      </c>
      <c r="B2" s="74" t="n"/>
      <c r="C2" s="74" t="n"/>
      <c r="D2" s="74" t="n"/>
      <c r="E2" s="74" t="n"/>
      <c r="F2" s="74" t="n"/>
      <c r="G2" s="74" t="n"/>
    </row>
    <row r="3" ht="25.5" customHeight="1" s="65">
      <c r="A3" s="85" t="inlineStr">
        <is>
          <t>Product</t>
        </is>
      </c>
      <c r="B3" s="85" t="inlineStr">
        <is>
          <t>Units Sold</t>
        </is>
      </c>
      <c r="C3" s="85" t="inlineStr">
        <is>
          <t>Revenue (Rs)</t>
        </is>
      </c>
      <c r="D3" s="85" t="inlineStr">
        <is>
          <t>Profit (Rs)</t>
        </is>
      </c>
      <c r="E3" s="85" t="inlineStr">
        <is>
          <t>Avg Margin %</t>
        </is>
      </c>
      <c r="F3" s="85" t="inlineStr">
        <is>
          <t>Revenue Rank</t>
        </is>
      </c>
      <c r="G3" s="85" t="inlineStr">
        <is>
          <t>Profit Rank</t>
        </is>
      </c>
    </row>
    <row r="4" ht="15" customHeight="1" s="65">
      <c r="A4" s="87" t="inlineStr">
        <is>
          <t>Laptop</t>
        </is>
      </c>
      <c r="B4" s="96">
        <f>SUMIF(01_Raw_Data!D:D,A4,01_Raw_Data!H:H)</f>
        <v/>
      </c>
      <c r="C4" s="96">
        <f>SUMIF(01_Raw_Data!D:D,A4,01_Raw_Data!J:J)</f>
        <v/>
      </c>
      <c r="D4" s="96">
        <f>SUMIF(01_Raw_Data!D:D,A4,01_Raw_Data!L:L)</f>
        <v/>
      </c>
      <c r="E4" s="89">
        <f>AVERAGEIF(01_Raw_Data!D:D,A4,01_Raw_Data!M:M)</f>
        <v/>
      </c>
      <c r="F4" s="86">
        <f>RANK(C4,C$4:C$8,0)</f>
        <v/>
      </c>
      <c r="G4" s="86">
        <f>RANK(D4,D$4:D$8,0)</f>
        <v/>
      </c>
    </row>
    <row r="5" ht="15" customHeight="1" s="65">
      <c r="A5" s="91" t="inlineStr">
        <is>
          <t>Mobile</t>
        </is>
      </c>
      <c r="B5" s="97">
        <f>SUMIF(01_Raw_Data!D:D,A5,01_Raw_Data!H:H)</f>
        <v/>
      </c>
      <c r="C5" s="97">
        <f>SUMIF(01_Raw_Data!D:D,A5,01_Raw_Data!J:J)</f>
        <v/>
      </c>
      <c r="D5" s="97">
        <f>SUMIF(01_Raw_Data!D:D,A5,01_Raw_Data!L:L)</f>
        <v/>
      </c>
      <c r="E5" s="93">
        <f>AVERAGEIF(01_Raw_Data!D:D,A5,01_Raw_Data!M:M)</f>
        <v/>
      </c>
      <c r="F5" s="90">
        <f>RANK(C5,C$4:C$8,0)</f>
        <v/>
      </c>
      <c r="G5" s="90">
        <f>RANK(D5,D$4:D$8,0)</f>
        <v/>
      </c>
    </row>
    <row r="6" ht="15" customHeight="1" s="65">
      <c r="A6" s="87" t="inlineStr">
        <is>
          <t>Tablet</t>
        </is>
      </c>
      <c r="B6" s="96">
        <f>SUMIF(01_Raw_Data!D:D,A6,01_Raw_Data!H:H)</f>
        <v/>
      </c>
      <c r="C6" s="96">
        <f>SUMIF(01_Raw_Data!D:D,A6,01_Raw_Data!J:J)</f>
        <v/>
      </c>
      <c r="D6" s="96">
        <f>SUMIF(01_Raw_Data!D:D,A6,01_Raw_Data!L:L)</f>
        <v/>
      </c>
      <c r="E6" s="89">
        <f>AVERAGEIF(01_Raw_Data!D:D,A6,01_Raw_Data!M:M)</f>
        <v/>
      </c>
      <c r="F6" s="86">
        <f>RANK(C6,C$4:C$8,0)</f>
        <v/>
      </c>
      <c r="G6" s="86">
        <f>RANK(D6,D$4:D$8,0)</f>
        <v/>
      </c>
    </row>
    <row r="7" ht="15" customHeight="1" s="65">
      <c r="A7" s="105" t="inlineStr">
        <is>
          <t>Earphones</t>
        </is>
      </c>
      <c r="B7" s="100">
        <f>SUMIF(01_Raw_Data!D:D,A7,01_Raw_Data!H:H)</f>
        <v/>
      </c>
      <c r="C7" s="100">
        <f>SUMIF(01_Raw_Data!D:D,A7,01_Raw_Data!J:J)</f>
        <v/>
      </c>
      <c r="D7" s="100">
        <f>SUMIF(01_Raw_Data!D:D,A7,01_Raw_Data!L:L)</f>
        <v/>
      </c>
      <c r="E7" s="101">
        <f>AVERAGEIF(01_Raw_Data!D:D,A7,01_Raw_Data!M:M)</f>
        <v/>
      </c>
      <c r="F7" s="99">
        <f>RANK(C7,C$4:C$8,0)</f>
        <v/>
      </c>
      <c r="G7" s="99">
        <f>RANK(D7,D$4:D$8,0)</f>
        <v/>
      </c>
    </row>
    <row r="8" ht="15" customHeight="1" s="65">
      <c r="A8" s="87" t="inlineStr">
        <is>
          <t>Smart Watch</t>
        </is>
      </c>
      <c r="B8" s="96">
        <f>SUMIF(01_Raw_Data!D:D,A8,01_Raw_Data!H:H)</f>
        <v/>
      </c>
      <c r="C8" s="96">
        <f>SUMIF(01_Raw_Data!D:D,A8,01_Raw_Data!J:J)</f>
        <v/>
      </c>
      <c r="D8" s="96">
        <f>SUMIF(01_Raw_Data!D:D,A8,01_Raw_Data!L:L)</f>
        <v/>
      </c>
      <c r="E8" s="89">
        <f>AVERAGEIF(01_Raw_Data!D:D,A8,01_Raw_Data!M:M)</f>
        <v/>
      </c>
      <c r="F8" s="86">
        <f>RANK(C8,C$4:C$8,0)</f>
        <v/>
      </c>
      <c r="G8" s="86">
        <f>RANK(D8,D$4:D$8,0)</f>
        <v/>
      </c>
    </row>
    <row r="9" ht="15" customHeight="1" s="65">
      <c r="A9" s="102" t="inlineStr">
        <is>
          <t>TOTAL / AVG</t>
        </is>
      </c>
      <c r="B9" s="103">
        <f>SUM(B4:B8)</f>
        <v/>
      </c>
      <c r="C9" s="103">
        <f>SUM(C4:C8)</f>
        <v/>
      </c>
      <c r="D9" s="103">
        <f>SUM(D4:D8)</f>
        <v/>
      </c>
      <c r="E9" s="104">
        <f>AVERAGE(E4:E8)</f>
        <v/>
      </c>
      <c r="F9" s="102" t="inlineStr">
        <is>
          <t>—</t>
        </is>
      </c>
      <c r="G9" s="102" t="inlineStr">
        <is>
          <t>—</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64" min="1" max="2"/>
    <col width="18" customWidth="1" style="64" min="3" max="3"/>
    <col width="16" customWidth="1" style="64" min="4" max="4"/>
    <col width="18" customWidth="1" style="64" min="5" max="5"/>
    <col width="22" customWidth="1" style="64" min="6" max="6"/>
  </cols>
  <sheetData>
    <row r="1" ht="33.75" customHeight="1" s="65">
      <c r="A1" s="94" t="inlineStr">
        <is>
          <t>Region-wise Sales Performance — FY 2024</t>
        </is>
      </c>
    </row>
    <row r="2" ht="27.75" customHeight="1" s="65">
      <c r="A2" s="106" t="inlineStr">
        <is>
          <t>INSIGHT: East region has 25% of orders but only 20% of revenue — avg deal size is lowest. Focus on upselling premium products in East.</t>
        </is>
      </c>
      <c r="B2" s="74" t="n"/>
      <c r="C2" s="74" t="n"/>
      <c r="D2" s="74" t="n"/>
      <c r="E2" s="74" t="n"/>
      <c r="F2" s="74" t="n"/>
    </row>
    <row r="3" ht="25.5" customHeight="1" s="65">
      <c r="A3" s="85" t="inlineStr">
        <is>
          <t>Region</t>
        </is>
      </c>
      <c r="B3" s="85" t="inlineStr">
        <is>
          <t>Orders</t>
        </is>
      </c>
      <c r="C3" s="85" t="inlineStr">
        <is>
          <t>Revenue (Rs)</t>
        </is>
      </c>
      <c r="D3" s="85" t="inlineStr">
        <is>
          <t>Profit (Rs)</t>
        </is>
      </c>
      <c r="E3" s="85" t="inlineStr">
        <is>
          <t>Market Share %</t>
        </is>
      </c>
      <c r="F3" s="85" t="inlineStr">
        <is>
          <t>Avg Order Value (Rs)</t>
        </is>
      </c>
    </row>
    <row r="4" ht="15" customHeight="1" s="65">
      <c r="A4" s="86" t="inlineStr">
        <is>
          <t>North</t>
        </is>
      </c>
      <c r="B4" s="96">
        <f>COUNTIF(01_Raw_Data!F:F,A4)</f>
        <v/>
      </c>
      <c r="C4" s="96">
        <f>SUMIF(01_Raw_Data!F:F,A4,01_Raw_Data!J:J)</f>
        <v/>
      </c>
      <c r="D4" s="96">
        <f>SUMIF(01_Raw_Data!F:F,A4,01_Raw_Data!L:L)</f>
        <v/>
      </c>
      <c r="E4" s="89">
        <f>C4/SUM(C$4:C$7)*100</f>
        <v/>
      </c>
      <c r="F4" s="96">
        <f>C4/B4</f>
        <v/>
      </c>
    </row>
    <row r="5" ht="15" customHeight="1" s="65">
      <c r="A5" s="90" t="inlineStr">
        <is>
          <t>South</t>
        </is>
      </c>
      <c r="B5" s="97">
        <f>COUNTIF(01_Raw_Data!F:F,A5)</f>
        <v/>
      </c>
      <c r="C5" s="97">
        <f>SUMIF(01_Raw_Data!F:F,A5,01_Raw_Data!J:J)</f>
        <v/>
      </c>
      <c r="D5" s="97">
        <f>SUMIF(01_Raw_Data!F:F,A5,01_Raw_Data!L:L)</f>
        <v/>
      </c>
      <c r="E5" s="93">
        <f>C5/SUM(C$4:C$7)*100</f>
        <v/>
      </c>
      <c r="F5" s="97">
        <f>C5/B5</f>
        <v/>
      </c>
    </row>
    <row r="6" ht="15" customHeight="1" s="65">
      <c r="A6" s="107" t="inlineStr">
        <is>
          <t>East</t>
        </is>
      </c>
      <c r="B6" s="108">
        <f>COUNTIF(01_Raw_Data!F:F,A6)</f>
        <v/>
      </c>
      <c r="C6" s="108">
        <f>SUMIF(01_Raw_Data!F:F,A6,01_Raw_Data!J:J)</f>
        <v/>
      </c>
      <c r="D6" s="108">
        <f>SUMIF(01_Raw_Data!F:F,A6,01_Raw_Data!L:L)</f>
        <v/>
      </c>
      <c r="E6" s="109">
        <f>C6/SUM(C$4:C$7)*100</f>
        <v/>
      </c>
      <c r="F6" s="108">
        <f>C6/B6</f>
        <v/>
      </c>
    </row>
    <row r="7" ht="15" customHeight="1" s="65">
      <c r="A7" s="90" t="inlineStr">
        <is>
          <t>West</t>
        </is>
      </c>
      <c r="B7" s="97">
        <f>COUNTIF(01_Raw_Data!F:F,A7)</f>
        <v/>
      </c>
      <c r="C7" s="97">
        <f>SUMIF(01_Raw_Data!F:F,A7,01_Raw_Data!J:J)</f>
        <v/>
      </c>
      <c r="D7" s="97">
        <f>SUMIF(01_Raw_Data!F:F,A7,01_Raw_Data!L:L)</f>
        <v/>
      </c>
      <c r="E7" s="93">
        <f>C7/SUM(C$4:C$7)*100</f>
        <v/>
      </c>
      <c r="F7" s="97">
        <f>C7/B7</f>
        <v/>
      </c>
    </row>
    <row r="8" ht="15" customHeight="1" s="65">
      <c r="A8" s="102" t="inlineStr">
        <is>
          <t>TOTAL</t>
        </is>
      </c>
      <c r="B8" s="103">
        <f>SUM(B4:B7)</f>
        <v/>
      </c>
      <c r="C8" s="103">
        <f>SUM(C4:C7)</f>
        <v/>
      </c>
      <c r="D8" s="103">
        <f>SUM(D4:D7)</f>
        <v/>
      </c>
      <c r="E8" s="102" t="inlineStr">
        <is>
          <t>100.00%</t>
        </is>
      </c>
      <c r="F8" s="103">
        <f>C8/B8</f>
        <v/>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64" min="1" max="1"/>
    <col width="12" customWidth="1" style="64" min="2" max="2"/>
    <col width="18" customWidth="1" style="64" min="3" max="3"/>
    <col width="16" customWidth="1" style="64" min="4" max="5"/>
    <col width="14" customWidth="1" style="64" min="6" max="6"/>
    <col width="20" customWidth="1" style="64" min="7" max="7"/>
  </cols>
  <sheetData>
    <row r="1" ht="33.75" customHeight="1" s="65">
      <c r="A1" s="94" t="inlineStr">
        <is>
          <t>Salesperson Performance Ranking — FY 2024</t>
        </is>
      </c>
    </row>
    <row r="2" ht="27.75" customHeight="1" s="65">
      <c r="A2" s="110" t="inlineStr">
        <is>
          <t>INSIGHT: Top 2 salespeople generate 35%+ of revenue. Their avg deal size &amp; product mix differs from bottom performers — structured training recommended.</t>
        </is>
      </c>
      <c r="B2" s="74" t="n"/>
      <c r="C2" s="74" t="n"/>
      <c r="D2" s="74" t="n"/>
      <c r="E2" s="74" t="n"/>
      <c r="F2" s="74" t="n"/>
      <c r="G2" s="74" t="n"/>
    </row>
    <row r="3" ht="25.5" customHeight="1" s="65">
      <c r="A3" s="85" t="inlineStr">
        <is>
          <t>Salesperson</t>
        </is>
      </c>
      <c r="B3" s="85" t="inlineStr">
        <is>
          <t>Orders</t>
        </is>
      </c>
      <c r="C3" s="85" t="inlineStr">
        <is>
          <t>Revenue (Rs)</t>
        </is>
      </c>
      <c r="D3" s="85" t="inlineStr">
        <is>
          <t>Profit (Rs)</t>
        </is>
      </c>
      <c r="E3" s="85" t="inlineStr">
        <is>
          <t>Avg Margin %</t>
        </is>
      </c>
      <c r="F3" s="85" t="inlineStr">
        <is>
          <t>Revenue Rank</t>
        </is>
      </c>
      <c r="G3" s="85" t="inlineStr">
        <is>
          <t>% of Total Revenue</t>
        </is>
      </c>
    </row>
    <row r="4" ht="15" customHeight="1" s="65">
      <c r="A4" s="111" t="inlineStr">
        <is>
          <t>Rahul Sharma</t>
        </is>
      </c>
      <c r="B4" s="112">
        <f>COUNTIF(01_Raw_Data!G:G,A4)</f>
        <v/>
      </c>
      <c r="C4" s="112">
        <f>SUMIF(01_Raw_Data!G:G,A4,01_Raw_Data!J:J)</f>
        <v/>
      </c>
      <c r="D4" s="112">
        <f>SUMIF(01_Raw_Data!G:G,A4,01_Raw_Data!L:L)</f>
        <v/>
      </c>
      <c r="E4" s="113">
        <f>AVERAGEIF(01_Raw_Data!G:G,A4,01_Raw_Data!M:M)</f>
        <v/>
      </c>
      <c r="F4" s="114">
        <f>RANK(C4,C$4:C$11,0)</f>
        <v/>
      </c>
      <c r="G4" s="113">
        <f>C4/SUM(C$4:C$11)*100</f>
        <v/>
      </c>
    </row>
    <row r="5" ht="15" customHeight="1" s="65">
      <c r="A5" s="111" t="inlineStr">
        <is>
          <t>Priya Singh</t>
        </is>
      </c>
      <c r="B5" s="112">
        <f>COUNTIF(01_Raw_Data!G:G,A5)</f>
        <v/>
      </c>
      <c r="C5" s="112">
        <f>SUMIF(01_Raw_Data!G:G,A5,01_Raw_Data!J:J)</f>
        <v/>
      </c>
      <c r="D5" s="112">
        <f>SUMIF(01_Raw_Data!G:G,A5,01_Raw_Data!L:L)</f>
        <v/>
      </c>
      <c r="E5" s="113">
        <f>AVERAGEIF(01_Raw_Data!G:G,A5,01_Raw_Data!M:M)</f>
        <v/>
      </c>
      <c r="F5" s="114">
        <f>RANK(C5,C$4:C$11,0)</f>
        <v/>
      </c>
      <c r="G5" s="113">
        <f>C5/SUM(C$4:C$11)*100</f>
        <v/>
      </c>
    </row>
    <row r="6" ht="15" customHeight="1" s="65">
      <c r="A6" s="87" t="inlineStr">
        <is>
          <t>Amit Kumar</t>
        </is>
      </c>
      <c r="B6" s="96">
        <f>COUNTIF(01_Raw_Data!G:G,A6)</f>
        <v/>
      </c>
      <c r="C6" s="96">
        <f>SUMIF(01_Raw_Data!G:G,A6,01_Raw_Data!J:J)</f>
        <v/>
      </c>
      <c r="D6" s="96">
        <f>SUMIF(01_Raw_Data!G:G,A6,01_Raw_Data!L:L)</f>
        <v/>
      </c>
      <c r="E6" s="89">
        <f>AVERAGEIF(01_Raw_Data!G:G,A6,01_Raw_Data!M:M)</f>
        <v/>
      </c>
      <c r="F6" s="86">
        <f>RANK(C6,C$4:C$11,0)</f>
        <v/>
      </c>
      <c r="G6" s="89">
        <f>C6/SUM(C$4:C$11)*100</f>
        <v/>
      </c>
    </row>
    <row r="7" ht="15" customHeight="1" s="65">
      <c r="A7" s="91" t="inlineStr">
        <is>
          <t>Sneha Patel</t>
        </is>
      </c>
      <c r="B7" s="97">
        <f>COUNTIF(01_Raw_Data!G:G,A7)</f>
        <v/>
      </c>
      <c r="C7" s="97">
        <f>SUMIF(01_Raw_Data!G:G,A7,01_Raw_Data!J:J)</f>
        <v/>
      </c>
      <c r="D7" s="97">
        <f>SUMIF(01_Raw_Data!G:G,A7,01_Raw_Data!L:L)</f>
        <v/>
      </c>
      <c r="E7" s="93">
        <f>AVERAGEIF(01_Raw_Data!G:G,A7,01_Raw_Data!M:M)</f>
        <v/>
      </c>
      <c r="F7" s="90">
        <f>RANK(C7,C$4:C$11,0)</f>
        <v/>
      </c>
      <c r="G7" s="93">
        <f>C7/SUM(C$4:C$11)*100</f>
        <v/>
      </c>
    </row>
    <row r="8" ht="15" customHeight="1" s="65">
      <c r="A8" s="87" t="inlineStr">
        <is>
          <t>Vikas Rao</t>
        </is>
      </c>
      <c r="B8" s="96">
        <f>COUNTIF(01_Raw_Data!G:G,A8)</f>
        <v/>
      </c>
      <c r="C8" s="96">
        <f>SUMIF(01_Raw_Data!G:G,A8,01_Raw_Data!J:J)</f>
        <v/>
      </c>
      <c r="D8" s="96">
        <f>SUMIF(01_Raw_Data!G:G,A8,01_Raw_Data!L:L)</f>
        <v/>
      </c>
      <c r="E8" s="89">
        <f>AVERAGEIF(01_Raw_Data!G:G,A8,01_Raw_Data!M:M)</f>
        <v/>
      </c>
      <c r="F8" s="86">
        <f>RANK(C8,C$4:C$11,0)</f>
        <v/>
      </c>
      <c r="G8" s="89">
        <f>C8/SUM(C$4:C$11)*100</f>
        <v/>
      </c>
    </row>
    <row r="9" ht="15" customHeight="1" s="65">
      <c r="A9" s="91" t="inlineStr">
        <is>
          <t>Neha Gupta</t>
        </is>
      </c>
      <c r="B9" s="97">
        <f>COUNTIF(01_Raw_Data!G:G,A9)</f>
        <v/>
      </c>
      <c r="C9" s="97">
        <f>SUMIF(01_Raw_Data!G:G,A9,01_Raw_Data!J:J)</f>
        <v/>
      </c>
      <c r="D9" s="97">
        <f>SUMIF(01_Raw_Data!G:G,A9,01_Raw_Data!L:L)</f>
        <v/>
      </c>
      <c r="E9" s="93">
        <f>AVERAGEIF(01_Raw_Data!G:G,A9,01_Raw_Data!M:M)</f>
        <v/>
      </c>
      <c r="F9" s="90">
        <f>RANK(C9,C$4:C$11,0)</f>
        <v/>
      </c>
      <c r="G9" s="93">
        <f>C9/SUM(C$4:C$11)*100</f>
        <v/>
      </c>
    </row>
    <row r="10" ht="15" customHeight="1" s="65">
      <c r="A10" s="87" t="inlineStr">
        <is>
          <t>Rohit Verma</t>
        </is>
      </c>
      <c r="B10" s="96">
        <f>COUNTIF(01_Raw_Data!G:G,A10)</f>
        <v/>
      </c>
      <c r="C10" s="96">
        <f>SUMIF(01_Raw_Data!G:G,A10,01_Raw_Data!J:J)</f>
        <v/>
      </c>
      <c r="D10" s="96">
        <f>SUMIF(01_Raw_Data!G:G,A10,01_Raw_Data!L:L)</f>
        <v/>
      </c>
      <c r="E10" s="89">
        <f>AVERAGEIF(01_Raw_Data!G:G,A10,01_Raw_Data!M:M)</f>
        <v/>
      </c>
      <c r="F10" s="86">
        <f>RANK(C10,C$4:C$11,0)</f>
        <v/>
      </c>
      <c r="G10" s="89">
        <f>C10/SUM(C$4:C$11)*100</f>
        <v/>
      </c>
    </row>
    <row r="11" ht="15" customHeight="1" s="65">
      <c r="A11" s="91" t="inlineStr">
        <is>
          <t>Kavita Joshi</t>
        </is>
      </c>
      <c r="B11" s="97">
        <f>COUNTIF(01_Raw_Data!G:G,A11)</f>
        <v/>
      </c>
      <c r="C11" s="97">
        <f>SUMIF(01_Raw_Data!G:G,A11,01_Raw_Data!J:J)</f>
        <v/>
      </c>
      <c r="D11" s="97">
        <f>SUMIF(01_Raw_Data!G:G,A11,01_Raw_Data!L:L)</f>
        <v/>
      </c>
      <c r="E11" s="93">
        <f>AVERAGEIF(01_Raw_Data!G:G,A11,01_Raw_Data!M:M)</f>
        <v/>
      </c>
      <c r="F11" s="90">
        <f>RANK(C11,C$4:C$11,0)</f>
        <v/>
      </c>
      <c r="G11" s="93">
        <f>C11/SUM(C$4:C$11)*100</f>
        <v/>
      </c>
    </row>
    <row r="12" ht="15" customHeight="1" s="65">
      <c r="A12" s="102" t="inlineStr">
        <is>
          <t>TOTAL</t>
        </is>
      </c>
      <c r="B12" s="103">
        <f>SUM(B4:B11)</f>
        <v/>
      </c>
      <c r="C12" s="103">
        <f>SUM(C4:C11)</f>
        <v/>
      </c>
      <c r="D12" s="103">
        <f>SUM(D4:D11)</f>
        <v/>
      </c>
      <c r="E12" s="104">
        <f>AVERAGE(E4:E11)</f>
        <v/>
      </c>
      <c r="F12" s="102" t="inlineStr">
        <is>
          <t>—</t>
        </is>
      </c>
      <c r="G12" s="102" t="inlineStr">
        <is>
          <t>100.00%</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B2:M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 customWidth="1" style="64" min="2" max="13"/>
  </cols>
  <sheetData>
    <row r="2" ht="48" customHeight="1" s="65">
      <c r="B2" s="115" t="inlineStr">
        <is>
          <t>ELECTRONICS SALES — EXECUTIVE DASHBOARD FY 2024</t>
        </is>
      </c>
    </row>
    <row r="4" ht="24" customHeight="1" s="65">
      <c r="B4" s="116" t="inlineStr">
        <is>
          <t>TOTAL REVENUE</t>
        </is>
      </c>
      <c r="C4" s="74" t="n"/>
      <c r="D4" s="74" t="n"/>
      <c r="E4" s="117" t="inlineStr">
        <is>
          <t>TOTAL PROFIT</t>
        </is>
      </c>
      <c r="F4" s="74" t="n"/>
      <c r="G4" s="74" t="n"/>
      <c r="H4" s="118" t="inlineStr">
        <is>
          <t>TOTAL ORDERS</t>
        </is>
      </c>
      <c r="I4" s="74" t="n"/>
      <c r="J4" s="74" t="n"/>
      <c r="K4" s="119" t="inlineStr">
        <is>
          <t>AVG MARGIN</t>
        </is>
      </c>
      <c r="L4" s="74" t="n"/>
      <c r="M4" s="74" t="n"/>
    </row>
    <row r="5" ht="33.75" customHeight="1" s="65">
      <c r="B5" s="120">
        <f>SUM(01_Raw_Data!J:J)</f>
        <v/>
      </c>
      <c r="C5" s="70" t="n"/>
      <c r="D5" s="70" t="n"/>
      <c r="E5" s="121">
        <f>SUM(01_Raw_Data!L:L)</f>
        <v/>
      </c>
      <c r="F5" s="70" t="n"/>
      <c r="G5" s="70" t="n"/>
      <c r="H5" s="122">
        <f>COUNTA(01_Raw_Data!A2:A253)</f>
        <v/>
      </c>
      <c r="I5" s="70" t="n"/>
      <c r="J5" s="70" t="n"/>
      <c r="K5" s="123">
        <f>AVERAGE(01_Raw_Data!M:M)</f>
        <v/>
      </c>
      <c r="L5" s="70" t="n"/>
      <c r="M5" s="70" t="n"/>
    </row>
    <row r="6" ht="33.75" customHeight="1" s="65">
      <c r="B6" s="71" t="n"/>
      <c r="E6" s="71" t="n"/>
      <c r="H6" s="71" t="n"/>
      <c r="K6" s="71" t="n"/>
    </row>
    <row r="8" ht="25.5" customHeight="1" s="65">
      <c r="B8" s="124" t="inlineStr">
        <is>
          <t>KEY FINDINGS &amp; ACTIONABLE INSIGHTS</t>
        </is>
      </c>
      <c r="C8" s="74" t="n"/>
      <c r="D8" s="74" t="n"/>
      <c r="E8" s="74" t="n"/>
      <c r="F8" s="74" t="n"/>
      <c r="G8" s="74" t="n"/>
      <c r="H8" s="74" t="n"/>
      <c r="I8" s="74" t="n"/>
      <c r="J8" s="74" t="n"/>
      <c r="K8" s="74" t="n"/>
      <c r="L8" s="74" t="n"/>
      <c r="M8" s="74" t="n"/>
    </row>
    <row r="9" ht="24" customHeight="1" s="65">
      <c r="B9" s="73" t="inlineStr">
        <is>
          <t>Nov–Dec = Peak Season</t>
        </is>
      </c>
      <c r="C9" s="74" t="n"/>
      <c r="D9" s="74" t="n"/>
      <c r="E9" s="73" t="inlineStr">
        <is>
          <t>Earphones = Hidden Gem</t>
        </is>
      </c>
      <c r="F9" s="74" t="n"/>
      <c r="G9" s="74" t="n"/>
      <c r="H9" s="76" t="inlineStr">
        <is>
          <t>East Region Lagging</t>
        </is>
      </c>
      <c r="I9" s="74" t="n"/>
      <c r="J9" s="74" t="n"/>
      <c r="K9" s="78" t="inlineStr">
        <is>
          <t>Sales Concentration Risk</t>
        </is>
      </c>
      <c r="L9" s="74" t="n"/>
      <c r="M9" s="74" t="n"/>
    </row>
    <row r="10" ht="36" customHeight="1" s="65">
      <c r="B10" s="125" t="inlineStr">
        <is>
          <t>24% of annual revenue in just 2 months. Pre-stock inventory by October.</t>
        </is>
      </c>
      <c r="C10" s="70" t="n"/>
      <c r="D10" s="70" t="n"/>
      <c r="E10" s="125" t="inlineStr">
        <is>
          <t>Highest profit margin (45%+). Increase marketing &amp; volume targets.</t>
        </is>
      </c>
      <c r="F10" s="70" t="n"/>
      <c r="G10" s="70" t="n"/>
      <c r="H10" s="126" t="inlineStr">
        <is>
          <t>25% orders, only 20% revenue. Avg deal size is lowest — upsell needed.</t>
        </is>
      </c>
      <c r="I10" s="70" t="n"/>
      <c r="J10" s="70" t="n"/>
      <c r="K10" s="127" t="inlineStr">
        <is>
          <t>Top 2 reps = 35%+ revenue. Train others using their strategy.</t>
        </is>
      </c>
      <c r="L10" s="70" t="n"/>
      <c r="M10" s="70" t="n"/>
    </row>
    <row r="11" ht="36" customHeight="1" s="65">
      <c r="B11" s="71" t="n"/>
      <c r="E11" s="71" t="n"/>
      <c r="H11" s="71" t="n"/>
      <c r="K11" s="71" t="n"/>
    </row>
    <row r="13" ht="25.5" customHeight="1" s="65">
      <c r="B13" s="128" t="inlineStr">
        <is>
          <t>QUICK STATS</t>
        </is>
      </c>
      <c r="C13" s="74" t="n"/>
      <c r="D13" s="74" t="n"/>
      <c r="E13" s="74" t="n"/>
      <c r="F13" s="74" t="n"/>
      <c r="G13" s="74" t="n"/>
      <c r="H13" s="74" t="n"/>
      <c r="I13" s="74" t="n"/>
      <c r="J13" s="74" t="n"/>
      <c r="K13" s="74" t="n"/>
      <c r="L13" s="74" t="n"/>
      <c r="M13" s="74" t="n"/>
    </row>
    <row r="14" ht="24" customHeight="1" s="65">
      <c r="B14" s="129" t="inlineStr">
        <is>
          <t>Best Month:</t>
        </is>
      </c>
      <c r="C14" s="74" t="n"/>
      <c r="D14" s="74" t="n"/>
      <c r="E14" s="74" t="n"/>
      <c r="F14" s="130">
        <f>INDEX(02_Monthly_Analysis!A4:A15,MATCH(MAX(02_Monthly_Analysis!D4:D15),02_Monthly_Analysis!D4:D15,0))</f>
        <v/>
      </c>
      <c r="G14" s="74" t="n"/>
      <c r="H14" s="74" t="n"/>
      <c r="I14" s="74" t="n"/>
    </row>
    <row r="15" ht="24" customHeight="1" s="65">
      <c r="B15" s="129" t="inlineStr">
        <is>
          <t>Best Product (Revenue):</t>
        </is>
      </c>
      <c r="C15" s="74" t="n"/>
      <c r="D15" s="74" t="n"/>
      <c r="E15" s="74" t="n"/>
      <c r="F15" s="130">
        <f>INDEX(03_Product_Analysis!A4:A8,MATCH(1,03_Product_Analysis!F4:F8,0))</f>
        <v/>
      </c>
      <c r="G15" s="74" t="n"/>
      <c r="H15" s="74" t="n"/>
      <c r="I15" s="74" t="n"/>
    </row>
    <row r="16" ht="24" customHeight="1" s="65">
      <c r="B16" s="129" t="inlineStr">
        <is>
          <t>Best Region:</t>
        </is>
      </c>
      <c r="C16" s="74" t="n"/>
      <c r="D16" s="74" t="n"/>
      <c r="E16" s="74" t="n"/>
      <c r="F16" s="130">
        <f>INDEX(04_Region_Analysis!A4:A7,MATCH(MAX(04_Region_Analysis!C4:C7),04_Region_Analysis!C4:C7,0))</f>
        <v/>
      </c>
      <c r="G16" s="74" t="n"/>
      <c r="H16" s="74" t="n"/>
      <c r="I16" s="74" t="n"/>
    </row>
    <row r="17" ht="24" customHeight="1" s="65">
      <c r="B17" s="129" t="inlineStr">
        <is>
          <t>Top Salesperson:</t>
        </is>
      </c>
      <c r="C17" s="74" t="n"/>
      <c r="D17" s="74" t="n"/>
      <c r="E17" s="74" t="n"/>
      <c r="F17" s="130">
        <f>INDEX(05_Salesperson_Analysis!A4:A11,MATCH(1,05_Salesperson_Analysis!F4:F11,0))</f>
        <v/>
      </c>
      <c r="G17" s="74" t="n"/>
      <c r="H17" s="74" t="n"/>
      <c r="I17" s="74" t="n"/>
    </row>
    <row r="19" ht="15" customHeight="1" s="65">
      <c r="B19" s="131" t="inlineStr">
        <is>
          <t>Data Source: 01_Raw_Data  |  295 Transactions  |  Tool: Microsoft Excel  |  Analyst: Suhail Hussain  |  FY 2024</t>
        </is>
      </c>
    </row>
  </sheetData>
  <mergeCells count="28">
    <mergeCell ref="B2:M2"/>
    <mergeCell ref="B5:D6"/>
    <mergeCell ref="K10:M11"/>
    <mergeCell ref="H5:J6"/>
    <mergeCell ref="B8:M8"/>
    <mergeCell ref="B15:E15"/>
    <mergeCell ref="E9:G9"/>
    <mergeCell ref="B13:M13"/>
    <mergeCell ref="F14:I14"/>
    <mergeCell ref="H10:J11"/>
    <mergeCell ref="B19:M19"/>
    <mergeCell ref="E5:G6"/>
    <mergeCell ref="K5:M6"/>
    <mergeCell ref="B16:E16"/>
    <mergeCell ref="B9:D9"/>
    <mergeCell ref="F16:I16"/>
    <mergeCell ref="E10:G11"/>
    <mergeCell ref="K4:M4"/>
    <mergeCell ref="B4:D4"/>
    <mergeCell ref="F15:I15"/>
    <mergeCell ref="B14:E14"/>
    <mergeCell ref="B17:E17"/>
    <mergeCell ref="B10:D11"/>
    <mergeCell ref="F17:I17"/>
    <mergeCell ref="K9:M9"/>
    <mergeCell ref="H4:J4"/>
    <mergeCell ref="E4:G4"/>
    <mergeCell ref="H9:J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2026-05-15T08:18:12Z</dcterms:created>
  <dcterms:modified xmlns:dcterms="http://purl.org/dc/terms/" xmlns:xsi="http://www.w3.org/2001/XMLSchema-instance" xsi:type="dcterms:W3CDTF">2026-06-06T05:54:53Z</dcterms:modified>
  <cp:revision>1</cp:revision>
</cp:coreProperties>
</file>